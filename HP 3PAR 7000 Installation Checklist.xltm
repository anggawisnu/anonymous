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4230" yWindow="3630" windowWidth="11130" windowHeight="4905" tabRatio="727" activeTab="1"/>
  </bookViews>
  <sheets>
    <sheet name="Introduction" sheetId="7" r:id="rId1"/>
    <sheet name="Site Readiness and Pre Checks" sheetId="6" r:id="rId2"/>
    <sheet name="Site Readiness and Pre Check P" sheetId="10" state="veryHidden" r:id="rId3"/>
    <sheet name="Customer Obligations" sheetId="9" r:id="rId4"/>
    <sheet name="Systems Configuration Workbook" sheetId="5" state="veryHidden" r:id="rId5"/>
    <sheet name="Systems Configuration Workbook_" sheetId="11" state="veryHidden" r:id="rId6"/>
    <sheet name="calc" sheetId="8" state="veryHidden" r:id="rId7"/>
    <sheet name="calc_partner" sheetId="12" state="veryHidden" r:id="rId8"/>
    <sheet name="additional Contacts" sheetId="14" r:id="rId9"/>
  </sheets>
  <definedNames>
    <definedName name="click_to_go_back_to_the_Site_Readiness_and_Pre_Checks_Tab">'Customer Obligations'!$A$53</definedName>
  </definedNames>
  <calcPr calcId="144525"/>
</workbook>
</file>

<file path=xl/calcChain.xml><?xml version="1.0" encoding="utf-8"?>
<calcChain xmlns="http://schemas.openxmlformats.org/spreadsheetml/2006/main">
  <c r="G25" i="10" l="1"/>
  <c r="G24" i="10"/>
  <c r="G11" i="10"/>
  <c r="G4" i="10"/>
  <c r="G3" i="10"/>
  <c r="G2" i="10"/>
  <c r="G17" i="10"/>
  <c r="C59" i="8"/>
  <c r="C58" i="8"/>
  <c r="D58" i="8" s="1"/>
  <c r="C57" i="8"/>
  <c r="D57" i="8" s="1"/>
  <c r="C56" i="8"/>
  <c r="D56" i="8" s="1"/>
  <c r="C55" i="8"/>
  <c r="D55" i="8" s="1"/>
  <c r="C54" i="8"/>
  <c r="D54" i="8" s="1"/>
  <c r="C53" i="8"/>
  <c r="D53" i="8" s="1"/>
  <c r="C52" i="8"/>
  <c r="D52" i="8" s="1"/>
  <c r="G25" i="6"/>
  <c r="G24" i="6"/>
  <c r="I57" i="8" l="1"/>
  <c r="F56" i="8" s="1"/>
  <c r="I53" i="8"/>
  <c r="E58" i="8"/>
  <c r="E54" i="8"/>
  <c r="E55" i="8"/>
  <c r="E53" i="8"/>
  <c r="E56" i="8"/>
  <c r="E57" i="8"/>
  <c r="G17" i="6"/>
  <c r="G2" i="6"/>
  <c r="G3" i="6"/>
  <c r="G4" i="6"/>
  <c r="G19" i="6"/>
  <c r="F52" i="8" l="1"/>
  <c r="G11" i="6"/>
  <c r="G14" i="10" l="1"/>
  <c r="C22" i="6"/>
  <c r="G14" i="6"/>
  <c r="D72" i="12" l="1"/>
  <c r="D71" i="12"/>
  <c r="C72" i="12"/>
  <c r="C71" i="12"/>
  <c r="D72" i="8"/>
  <c r="C72" i="8"/>
  <c r="D71" i="8"/>
  <c r="C71" i="8"/>
  <c r="E65" i="5" l="1"/>
  <c r="E64" i="5"/>
  <c r="E63" i="5"/>
  <c r="E41" i="5"/>
  <c r="G23" i="6"/>
  <c r="C68" i="12" l="1"/>
  <c r="D68" i="12" s="1"/>
  <c r="C47" i="12"/>
  <c r="D47" i="12" s="1"/>
  <c r="C46" i="12"/>
  <c r="D46" i="12" s="1"/>
  <c r="C45" i="12"/>
  <c r="D45" i="12" s="1"/>
  <c r="C44" i="12"/>
  <c r="D44" i="12" s="1"/>
  <c r="C40" i="12"/>
  <c r="D40" i="12" s="1"/>
  <c r="C39" i="12"/>
  <c r="D39" i="12" s="1"/>
  <c r="C38" i="12"/>
  <c r="C37" i="12"/>
  <c r="D37" i="12" s="1"/>
  <c r="C36" i="12"/>
  <c r="D36" i="12" s="1"/>
  <c r="C35" i="12"/>
  <c r="D35" i="12" s="1"/>
  <c r="C34" i="12"/>
  <c r="D34" i="12" s="1"/>
  <c r="C33" i="12"/>
  <c r="D33" i="12" s="1"/>
  <c r="C32" i="12"/>
  <c r="D32" i="12" s="1"/>
  <c r="C28" i="12"/>
  <c r="D28" i="12" s="1"/>
  <c r="C27" i="12"/>
  <c r="D27" i="12" s="1"/>
  <c r="C26" i="12"/>
  <c r="D26" i="12" s="1"/>
  <c r="C25" i="12"/>
  <c r="D25" i="12" s="1"/>
  <c r="C24" i="12"/>
  <c r="D24" i="12" s="1"/>
  <c r="C20" i="12"/>
  <c r="D20" i="12" s="1"/>
  <c r="C19" i="12"/>
  <c r="D19" i="12" s="1"/>
  <c r="C18" i="12"/>
  <c r="D18" i="12" s="1"/>
  <c r="C17" i="12"/>
  <c r="D17" i="12" s="1"/>
  <c r="C16" i="12"/>
  <c r="D16" i="12" s="1"/>
  <c r="C14" i="12"/>
  <c r="D14" i="12" s="1"/>
  <c r="C13" i="12"/>
  <c r="D13" i="12" s="1"/>
  <c r="C12" i="12"/>
  <c r="D12" i="12" s="1"/>
  <c r="C11" i="12"/>
  <c r="D11" i="12" s="1"/>
  <c r="C10" i="12"/>
  <c r="D10" i="12" s="1"/>
  <c r="C8" i="12"/>
  <c r="D8" i="12" s="1"/>
  <c r="C7" i="12"/>
  <c r="D7" i="12" s="1"/>
  <c r="C5" i="12"/>
  <c r="D5" i="12" s="1"/>
  <c r="C4" i="12"/>
  <c r="D4" i="12" s="1"/>
  <c r="C66" i="12"/>
  <c r="C65" i="12"/>
  <c r="C64" i="12"/>
  <c r="C59" i="12"/>
  <c r="C58" i="12"/>
  <c r="C57" i="12"/>
  <c r="C56" i="12"/>
  <c r="C55" i="12"/>
  <c r="C54" i="12"/>
  <c r="C53" i="12"/>
  <c r="C52" i="12"/>
  <c r="J51" i="12"/>
  <c r="I51" i="12"/>
  <c r="E70" i="11"/>
  <c r="E65" i="11"/>
  <c r="E64" i="11"/>
  <c r="E63" i="11"/>
  <c r="E62" i="11"/>
  <c r="E61" i="11"/>
  <c r="E60" i="11"/>
  <c r="E59" i="11"/>
  <c r="E58" i="11"/>
  <c r="E97" i="11"/>
  <c r="E109" i="11"/>
  <c r="E108" i="11"/>
  <c r="E107" i="11"/>
  <c r="E105" i="11"/>
  <c r="E49" i="11"/>
  <c r="E48" i="11"/>
  <c r="E47" i="11"/>
  <c r="E52" i="11"/>
  <c r="E51" i="11"/>
  <c r="E45" i="11"/>
  <c r="E44" i="11"/>
  <c r="E43" i="11"/>
  <c r="E41" i="11"/>
  <c r="E25" i="11"/>
  <c r="E24" i="11"/>
  <c r="E21" i="11"/>
  <c r="E20" i="11"/>
  <c r="E19" i="11"/>
  <c r="E18" i="11"/>
  <c r="E17" i="11"/>
  <c r="E12" i="11"/>
  <c r="E11" i="11"/>
  <c r="E10" i="11"/>
  <c r="E9" i="11"/>
  <c r="E8" i="11"/>
  <c r="E15" i="11"/>
  <c r="E14" i="11"/>
  <c r="E7" i="11"/>
  <c r="E5" i="11"/>
  <c r="G23" i="10"/>
  <c r="K51" i="12" l="1"/>
  <c r="F19" i="12"/>
  <c r="F16" i="12"/>
  <c r="E7" i="12"/>
  <c r="E4" i="12"/>
  <c r="E44" i="12"/>
  <c r="E24" i="12"/>
  <c r="E32" i="12"/>
  <c r="E10" i="12"/>
  <c r="D38" i="12"/>
  <c r="E38" i="12" s="1"/>
  <c r="G80" i="10"/>
  <c r="G76" i="10"/>
  <c r="G73" i="10"/>
  <c r="G72" i="10"/>
  <c r="G71" i="10"/>
  <c r="G70" i="10"/>
  <c r="G69" i="10"/>
  <c r="G68" i="10"/>
  <c r="G67" i="10"/>
  <c r="G66" i="10"/>
  <c r="G65" i="10"/>
  <c r="G64" i="10"/>
  <c r="G63" i="10"/>
  <c r="G62" i="10"/>
  <c r="G58" i="10"/>
  <c r="G57" i="10"/>
  <c r="G56" i="10"/>
  <c r="G55" i="10"/>
  <c r="G51" i="10"/>
  <c r="G50" i="10"/>
  <c r="G49" i="10"/>
  <c r="G48" i="10"/>
  <c r="G47" i="10"/>
  <c r="G46" i="10"/>
  <c r="G45" i="10"/>
  <c r="G44" i="10"/>
  <c r="G43" i="10"/>
  <c r="G42" i="10"/>
  <c r="G38" i="10"/>
  <c r="G37" i="10"/>
  <c r="G36" i="10"/>
  <c r="G35" i="10"/>
  <c r="G34" i="10"/>
  <c r="G30" i="10"/>
  <c r="G29" i="10"/>
  <c r="G28" i="10"/>
  <c r="G27" i="10"/>
  <c r="G26" i="10"/>
  <c r="G22" i="10"/>
  <c r="C22" i="10"/>
  <c r="G21" i="10"/>
  <c r="G19" i="10"/>
  <c r="G18" i="10"/>
  <c r="G16" i="10"/>
  <c r="G15" i="10"/>
  <c r="G13" i="10"/>
  <c r="G12" i="10"/>
  <c r="G10" i="10"/>
  <c r="G9" i="10"/>
  <c r="G66" i="6"/>
  <c r="G65" i="6"/>
  <c r="E16" i="12" l="1"/>
  <c r="E97" i="5"/>
  <c r="H4" i="12" l="1"/>
  <c r="H6" i="12" s="1"/>
  <c r="C1" i="10" s="1"/>
  <c r="E6" i="10" s="1"/>
  <c r="C24" i="8"/>
  <c r="E62" i="5" l="1"/>
  <c r="E61" i="5"/>
  <c r="E60" i="5"/>
  <c r="E59" i="5" l="1"/>
  <c r="C68" i="8" l="1"/>
  <c r="D68" i="8" s="1"/>
  <c r="J51" i="8"/>
  <c r="I51" i="8"/>
  <c r="G63" i="6"/>
  <c r="K51" i="8" l="1"/>
  <c r="E56" i="5" l="1"/>
  <c r="E56" i="11"/>
  <c r="E49" i="5"/>
  <c r="E7" i="5"/>
  <c r="E48" i="5"/>
  <c r="E47" i="5"/>
  <c r="C51" i="8" l="1"/>
  <c r="C51" i="12"/>
  <c r="G34" i="6"/>
  <c r="E70" i="5" l="1"/>
  <c r="E25" i="5"/>
  <c r="E24" i="5"/>
  <c r="E18" i="5"/>
  <c r="E19" i="5"/>
  <c r="E20" i="5"/>
  <c r="E21" i="5"/>
  <c r="E17" i="5"/>
  <c r="E15" i="5"/>
  <c r="E14" i="5"/>
  <c r="E12" i="5"/>
  <c r="E11" i="5"/>
  <c r="E10" i="5"/>
  <c r="E9" i="5"/>
  <c r="E8" i="5"/>
  <c r="E109" i="5"/>
  <c r="E108" i="5"/>
  <c r="E107" i="5"/>
  <c r="E105" i="5"/>
  <c r="G67" i="6"/>
  <c r="G68" i="6"/>
  <c r="G69" i="6"/>
  <c r="G70" i="6"/>
  <c r="G71" i="6"/>
  <c r="G72" i="6"/>
  <c r="G73" i="6"/>
  <c r="G50" i="6"/>
  <c r="G51" i="6"/>
  <c r="G43" i="6"/>
  <c r="G80" i="6" l="1"/>
  <c r="G76" i="6"/>
  <c r="G64" i="6"/>
  <c r="G62" i="6"/>
  <c r="G58" i="6"/>
  <c r="G57" i="6"/>
  <c r="G56" i="6"/>
  <c r="G55" i="6"/>
  <c r="G49" i="6"/>
  <c r="G48" i="6"/>
  <c r="G47" i="6"/>
  <c r="G46" i="6"/>
  <c r="G45" i="6"/>
  <c r="G44" i="6"/>
  <c r="G42" i="6"/>
  <c r="G36" i="6" l="1"/>
  <c r="G37" i="6"/>
  <c r="G38" i="6"/>
  <c r="G35" i="6"/>
  <c r="G21" i="6" l="1"/>
  <c r="G22" i="6"/>
  <c r="G26" i="6"/>
  <c r="G27" i="6"/>
  <c r="G28" i="6"/>
  <c r="G29" i="6"/>
  <c r="G30" i="6"/>
  <c r="G15" i="6"/>
  <c r="G16" i="6"/>
  <c r="G18" i="6"/>
  <c r="G12" i="6"/>
  <c r="G13" i="6"/>
  <c r="G10" i="6"/>
  <c r="G9" i="6"/>
  <c r="C66" i="8" l="1"/>
  <c r="C65" i="8"/>
  <c r="C64" i="8"/>
  <c r="C47" i="8"/>
  <c r="D47" i="8" s="1"/>
  <c r="C46" i="8"/>
  <c r="D46" i="8" s="1"/>
  <c r="C45" i="8"/>
  <c r="D45" i="8" s="1"/>
  <c r="C44" i="8"/>
  <c r="D44" i="8" s="1"/>
  <c r="C40" i="8"/>
  <c r="D40" i="8" s="1"/>
  <c r="C39" i="8"/>
  <c r="D39" i="8" s="1"/>
  <c r="C38" i="8"/>
  <c r="D38" i="8" s="1"/>
  <c r="C37" i="8"/>
  <c r="D37" i="8" s="1"/>
  <c r="C36" i="8"/>
  <c r="D36" i="8" s="1"/>
  <c r="C35" i="8"/>
  <c r="D35" i="8" s="1"/>
  <c r="C34" i="8"/>
  <c r="D34" i="8" s="1"/>
  <c r="C33" i="8"/>
  <c r="D33" i="8" s="1"/>
  <c r="C32" i="8"/>
  <c r="D32" i="8" s="1"/>
  <c r="C28" i="8"/>
  <c r="D28" i="8" s="1"/>
  <c r="C27" i="8"/>
  <c r="D27" i="8" s="1"/>
  <c r="C26" i="8"/>
  <c r="D26" i="8" s="1"/>
  <c r="C25" i="8"/>
  <c r="D25" i="8" s="1"/>
  <c r="D24" i="8"/>
  <c r="C20" i="8"/>
  <c r="D20" i="8" s="1"/>
  <c r="C19" i="8"/>
  <c r="D19" i="8" s="1"/>
  <c r="C18" i="8"/>
  <c r="D18" i="8" s="1"/>
  <c r="C17" i="8"/>
  <c r="D17" i="8" s="1"/>
  <c r="C16" i="8"/>
  <c r="D16" i="8" s="1"/>
  <c r="C14" i="8"/>
  <c r="D14" i="8" s="1"/>
  <c r="C13" i="8"/>
  <c r="D13" i="8" s="1"/>
  <c r="C12" i="8"/>
  <c r="D12" i="8" s="1"/>
  <c r="C11" i="8"/>
  <c r="D11" i="8" s="1"/>
  <c r="C10" i="8"/>
  <c r="D10" i="8" s="1"/>
  <c r="C8" i="8"/>
  <c r="D8" i="8" s="1"/>
  <c r="C7" i="8"/>
  <c r="D7" i="8" s="1"/>
  <c r="C5" i="8"/>
  <c r="D5" i="8" s="1"/>
  <c r="C4" i="8"/>
  <c r="D4" i="8" s="1"/>
  <c r="E58" i="5"/>
  <c r="E52" i="5"/>
  <c r="E51" i="5"/>
  <c r="E45" i="5"/>
  <c r="E44" i="5"/>
  <c r="E43" i="5"/>
  <c r="E5" i="5"/>
  <c r="E10" i="8" l="1"/>
  <c r="E44" i="8"/>
  <c r="F19" i="8"/>
  <c r="F16" i="8"/>
  <c r="E24" i="8"/>
  <c r="E32" i="8"/>
  <c r="E38" i="8"/>
  <c r="E4" i="8"/>
  <c r="E7" i="8"/>
  <c r="E16" i="8" l="1"/>
  <c r="H4" i="8" l="1"/>
  <c r="H6" i="8" s="1"/>
  <c r="C1" i="6" s="1"/>
  <c r="E6" i="6" s="1"/>
  <c r="B1" i="7" l="1"/>
</calcChain>
</file>

<file path=xl/comments1.xml><?xml version="1.0" encoding="utf-8"?>
<comments xmlns="http://schemas.openxmlformats.org/spreadsheetml/2006/main">
  <authors>
    <author>Martin Engelfried</author>
  </authors>
  <commentList>
    <comment ref="E42" authorId="0">
      <text>
        <r>
          <rPr>
            <b/>
            <sz val="9"/>
            <color indexed="81"/>
            <rFont val="Tahoma"/>
            <family val="2"/>
          </rPr>
          <t xml:space="preserve">Chose Physical only if you have ordered an SP from HP DL320
Product number QR516A </t>
        </r>
      </text>
    </comment>
    <comment ref="E63" authorId="0">
      <text>
        <r>
          <rPr>
            <sz val="9"/>
            <color indexed="81"/>
            <rFont val="Tahoma"/>
            <family val="2"/>
          </rPr>
          <t>you still have the control, also if you say yes in this field.
You have the following options in CCA (customer controlled access)
1.) Turn OFF HQ communications
2.) Set outbound only HQ communications
3.) Set Bi-directional HQ communications</t>
        </r>
      </text>
    </comment>
    <comment ref="E67" authorId="0">
      <text>
        <r>
          <rPr>
            <b/>
            <sz val="9"/>
            <color indexed="81"/>
            <rFont val="Tahoma"/>
            <family val="2"/>
          </rPr>
          <t>Proxies are commonly used for several reasons: security, load balancing, data caching in order to reduce bandwidth demands, and censorship or filtering. Filtering proxies insulate you from objectionable elements of Webpages such as cookies, ad banners, dynamic content like Javascript, Java Applets and ActiveX controls. Some anonymous proxies encrypt your communications to protect you from monitoring and surveillance</t>
        </r>
      </text>
    </comment>
  </commentList>
</comments>
</file>

<file path=xl/comments2.xml><?xml version="1.0" encoding="utf-8"?>
<comments xmlns="http://schemas.openxmlformats.org/spreadsheetml/2006/main">
  <authors>
    <author>Martin Engelfried</author>
  </authors>
  <commentList>
    <comment ref="E42" authorId="0">
      <text>
        <r>
          <rPr>
            <b/>
            <sz val="9"/>
            <color indexed="81"/>
            <rFont val="Tahoma"/>
            <family val="2"/>
          </rPr>
          <t xml:space="preserve">Chose Physical only if you have ordered an SP from HP DL320
Product number QR516A </t>
        </r>
      </text>
    </comment>
    <comment ref="E63" authorId="0">
      <text>
        <r>
          <rPr>
            <sz val="9"/>
            <color indexed="81"/>
            <rFont val="Tahoma"/>
            <family val="2"/>
          </rPr>
          <t>you still have the control, also if you say yes in this field.
You have the following options in CCA (customer controlled access)
1.) Turn OFF HQ communications
2.) Set outbound only HQ communications
3.) Set Bi-directional HQ communications</t>
        </r>
      </text>
    </comment>
    <comment ref="E67" authorId="0">
      <text>
        <r>
          <rPr>
            <b/>
            <sz val="9"/>
            <color indexed="81"/>
            <rFont val="Tahoma"/>
            <family val="2"/>
          </rPr>
          <t>Proxies are commonly used for several reasons: security, load balancing, data caching in order to reduce bandwidth demands, and censorship or filtering. Filtering proxies insulate you from objectionable elements of Webpages such as cookies, ad banners, dynamic content like Javascript, Java Applets and ActiveX controls. Some anonymous proxies encrypt your communications to protect you from monitoring and surveillance</t>
        </r>
      </text>
    </comment>
  </commentList>
</comments>
</file>

<file path=xl/sharedStrings.xml><?xml version="1.0" encoding="utf-8"?>
<sst xmlns="http://schemas.openxmlformats.org/spreadsheetml/2006/main" count="467" uniqueCount="179">
  <si>
    <t xml:space="preserve"> </t>
  </si>
  <si>
    <t>Step 2</t>
  </si>
  <si>
    <t>SP Networking</t>
  </si>
  <si>
    <t xml:space="preserve">Step 1 </t>
  </si>
  <si>
    <t>Welcome</t>
  </si>
  <si>
    <t xml:space="preserve">Step 3 </t>
  </si>
  <si>
    <t>Remote Support</t>
  </si>
  <si>
    <t>Step 4</t>
  </si>
  <si>
    <t>Time and Region</t>
  </si>
  <si>
    <t>Step 5</t>
  </si>
  <si>
    <t>Summary</t>
  </si>
  <si>
    <t>Step 6</t>
  </si>
  <si>
    <t>Apply Settings</t>
  </si>
  <si>
    <t>Step 7</t>
  </si>
  <si>
    <t>Finish</t>
  </si>
  <si>
    <t>Begin SP configuraton</t>
  </si>
  <si>
    <t>Begin Storage System Configuration</t>
  </si>
  <si>
    <t>Step 1</t>
  </si>
  <si>
    <t>Enter Storage System Serial Number</t>
  </si>
  <si>
    <t>Step 3</t>
  </si>
  <si>
    <t>Verify Storage Sytstem</t>
  </si>
  <si>
    <t>Configure Networking</t>
  </si>
  <si>
    <t>Configure Time</t>
  </si>
  <si>
    <t>Verify Configuration</t>
  </si>
  <si>
    <t>Progress</t>
  </si>
  <si>
    <t>Step 8</t>
  </si>
  <si>
    <t>Results</t>
  </si>
  <si>
    <t>This section of the workbook will assist you in running the SmartStart system set up and configuration wizard and answering the questions required to configure your SP.</t>
  </si>
  <si>
    <t>Service Processor ID:</t>
  </si>
  <si>
    <t>Service Processor Hostname:</t>
  </si>
  <si>
    <t>Subnet Mask:</t>
  </si>
  <si>
    <t>IP Address:</t>
  </si>
  <si>
    <t>Gateway:</t>
  </si>
  <si>
    <t>Domain Name:</t>
  </si>
  <si>
    <t>Enable DNS Support:</t>
  </si>
  <si>
    <t>DNS Server(s):</t>
  </si>
  <si>
    <t>Network Speed:</t>
  </si>
  <si>
    <t>Duplex:</t>
  </si>
  <si>
    <t>Remote Support Level:</t>
  </si>
  <si>
    <t>Enable Proxy Server For Remote Support:</t>
  </si>
  <si>
    <t>Protocol:</t>
  </si>
  <si>
    <t>Address:</t>
  </si>
  <si>
    <t>Port:</t>
  </si>
  <si>
    <t>Enable Authentication:</t>
  </si>
  <si>
    <t>Login ID:</t>
  </si>
  <si>
    <t>Password:</t>
  </si>
  <si>
    <t>Re-enter Password:</t>
  </si>
  <si>
    <t>NTP Server:</t>
  </si>
  <si>
    <t>Region:</t>
  </si>
  <si>
    <t>City or Country:</t>
  </si>
  <si>
    <t>Time Set Manual or Automatic:</t>
  </si>
  <si>
    <t>Please review the SP configuration information you entered and verify everything has been entered correctly. Once you are sure that the information is correct, click next to apply the settings to your SP.</t>
  </si>
  <si>
    <t>After clicking next you should see a Status of the Setup Progress.</t>
  </si>
  <si>
    <t>Serial Number:</t>
  </si>
  <si>
    <t>Please review the InServ configuration information and verify everything is correct. Once you are sure that the information is correct proceed to the next step.</t>
  </si>
  <si>
    <t>Storage System Name:</t>
  </si>
  <si>
    <t>Copy From SP or Enter Manually:</t>
  </si>
  <si>
    <t>Copy from SP</t>
  </si>
  <si>
    <t>Please review the InServ configuration information you entered and verify everything has been entered correctly. Once you are sure that the information is correct, click next to apply the settings to your InServ.</t>
  </si>
  <si>
    <t xml:space="preserve">Once the Setup has completed you should see a message indicating a successful configuration. Please follow the on screen prompts to click finish and resume the SmartStart wizard configuration of the InServ.
When prompted please select Launch Storage System Setup Wizard.
</t>
  </si>
  <si>
    <t>Once the Setup has completed you should see a message indicating a successful configuration. Please follow the on screen prompts to click finish and exit the SmartStart wizard.</t>
  </si>
  <si>
    <t>Is this system being installed in a HP or 3rd party rack</t>
  </si>
  <si>
    <t>SP IP Address:</t>
  </si>
  <si>
    <t>Virtual or physical SP</t>
  </si>
  <si>
    <t>Remote support</t>
  </si>
  <si>
    <t>Document owners: Martin Engelfried and Chris Swim</t>
  </si>
  <si>
    <t>POC phone number:</t>
  </si>
  <si>
    <t>Installation address:</t>
  </si>
  <si>
    <t>HP/3PAR order number:</t>
  </si>
  <si>
    <t>Number of cabinets:</t>
  </si>
  <si>
    <t>Number of drive chassis:</t>
  </si>
  <si>
    <t>Number of nodes:</t>
  </si>
  <si>
    <t>Number of drives:</t>
  </si>
  <si>
    <t>Storage system network configuration</t>
  </si>
  <si>
    <t>Site POC:</t>
  </si>
  <si>
    <t>Site rediness pre checks</t>
  </si>
  <si>
    <t>Service Processor network configuration</t>
  </si>
  <si>
    <t>Are the required network drops available</t>
  </si>
  <si>
    <t>Is the required power available</t>
  </si>
  <si>
    <t>Is the power redundaint per requirements</t>
  </si>
  <si>
    <t>Is there 36" in front and behind the system for service access</t>
  </si>
  <si>
    <t>PM:</t>
  </si>
  <si>
    <t>PM phone number:</t>
  </si>
  <si>
    <r>
      <t xml:space="preserve">This section of the workbook will assist you in running the SmartStart system set up and configuration wizard and answering the questions required to configure your InServ.
</t>
    </r>
    <r>
      <rPr>
        <sz val="10"/>
        <color rgb="FFFF0000"/>
        <rFont val="HP Simplified"/>
        <family val="2"/>
      </rPr>
      <t xml:space="preserve">Important note! </t>
    </r>
    <r>
      <rPr>
        <sz val="10"/>
        <rFont val="HP Simplified"/>
        <family val="2"/>
      </rPr>
      <t>it is manditory that the SP you just configured be on the same network as the InServ that you are about to configuring. This is only manditory during the initial configuration.</t>
    </r>
  </si>
  <si>
    <t>Dear HP Customer,</t>
  </si>
  <si>
    <t>Installation specific information</t>
  </si>
  <si>
    <t>Installation specific information (completed by HP PM)</t>
  </si>
  <si>
    <t>Service Processor network configuration (completed by customer)</t>
  </si>
  <si>
    <t>Subnet Mask IP:</t>
  </si>
  <si>
    <t>Gateway IP:</t>
  </si>
  <si>
    <t>Storage system network configuration (completed by customer)</t>
  </si>
  <si>
    <t>Remote support (completed by customer)</t>
  </si>
  <si>
    <t>NTP Server IP-address:</t>
  </si>
  <si>
    <t>Is this a HP or Partner Order?</t>
  </si>
  <si>
    <t>expected Date:</t>
  </si>
  <si>
    <t>Is the power redundant per requirements</t>
  </si>
  <si>
    <t>HP Storeserv 7000 Installation Site Readiness and Pre Checks</t>
  </si>
  <si>
    <t>Customer phone number:</t>
  </si>
  <si>
    <t>Is there 36"(1m) open space in front and behind the system for service</t>
  </si>
  <si>
    <t>HP PM/IPM:</t>
  </si>
  <si>
    <t>HP PM/IPM phone number:</t>
  </si>
  <si>
    <t>HP Storeserv 7000 Series System Installation and Configuration</t>
  </si>
  <si>
    <t>Order number:</t>
  </si>
  <si>
    <t>HP internal PM/IPM phone number:</t>
  </si>
  <si>
    <t>HP internal PM/IPM:</t>
  </si>
  <si>
    <t>Customer:</t>
  </si>
  <si>
    <t>SP type:</t>
  </si>
  <si>
    <t>Installation address</t>
  </si>
  <si>
    <t>Begin Smart Start configuration</t>
  </si>
  <si>
    <t>Have you completed all items in the customer obligations tab</t>
  </si>
  <si>
    <t xml:space="preserve">To help insure a successful installation of your system, please make sure that you have complied with the Customer obligations and pre-requisites listed under the “service eligibility” and “customer responsibilities” section of  the Service data sheet.  Please see details on the "Customer obligations" tab.
</t>
  </si>
  <si>
    <t>Will this be a BAFS (built at Factory System) or a BOSS (built On Site System)?</t>
  </si>
  <si>
    <t>Does the rack that is being provided meet RETMA standards?</t>
  </si>
  <si>
    <t>Customer Obligations</t>
  </si>
  <si>
    <t>Site Readiness and Pre Checks</t>
  </si>
  <si>
    <t>Introduction</t>
  </si>
  <si>
    <t>HP 3PAR StoreServ 7000 Storage Installation and Startup Service</t>
  </si>
  <si>
    <t xml:space="preserve">EOS Site Readiness and Pre Checks   HP7000 GA   </t>
  </si>
  <si>
    <t>Number of controllers:</t>
  </si>
  <si>
    <t>Number of drive enclosures:</t>
  </si>
  <si>
    <t>DNS Server:</t>
  </si>
  <si>
    <t>One additional step is need and for this reason please refer to the SDG to verify inbound and outbound connectivity. See SDG for more details.</t>
  </si>
  <si>
    <t>Will the SP be configured for Remote Monitoring  (send home files)?</t>
  </si>
  <si>
    <t>Will the SP be configured for Remote Support (Support can dial in for analysis)?</t>
  </si>
  <si>
    <t>Proxy Server used for Remote Monitoring or Remote Support?</t>
  </si>
  <si>
    <t xml:space="preserve">All blue fields are "optional" information or information not supplied by the customer. You have to gather the information when doing the install and fulfill the workbook and send it back afterwards to the PM. </t>
  </si>
  <si>
    <t>Built Type:</t>
  </si>
  <si>
    <t>For additional information please go to the Product home page</t>
  </si>
  <si>
    <t xml:space="preserve">Please work with your account team to complete and submit the information on the Site Readiness and Pre-Checks tab of this document. Your installation and system set-up cannot be coordinated until all information is filled-in and submitted to HP for review. Please note: A checklist must be completed for each StoreServ system and only 1 system is allowed per checklist. 
All fields are mandatory and must be completed. You will notice a red status marker at the top of the document that reads: "all fields are mandatory".   Once all of the information has been provided, the red status will change to green indicating "all fields are completed".  This document cannot be accepted by HP if information is missing. 
Most fields have pop-up help text, which is accessible by clicking in the field with your cursor. Should you still have any questions or need assistance filling out this document, feel free to contact your account team for assistance.
Once submitted, the information will be reviewed for accuracy and your installation can be coordinated with HP. 
</t>
  </si>
  <si>
    <t>Site readiness pre checks (completed by customer)</t>
  </si>
  <si>
    <t>System Serial Number</t>
  </si>
  <si>
    <t>Are you installing HP 3PAR Policy Server?</t>
  </si>
  <si>
    <t>all information seems to be complete, please submit to your HP contact</t>
  </si>
  <si>
    <t>Yes</t>
  </si>
  <si>
    <t>Please enter the IPv4 address if you are using a Domain Name Server (DNS), if you have multiple addresses seperate them by a space.</t>
  </si>
  <si>
    <t>Please enter the fully qualified DNS domain name that is beeing used for DNS name resolution.</t>
  </si>
  <si>
    <t xml:space="preserve">Enter hostname or IP address of the HP 3PAR Policy Server </t>
  </si>
  <si>
    <t>Please enter the port number on which to contact the Policy Server</t>
  </si>
  <si>
    <t>Partner PM</t>
  </si>
  <si>
    <t>Partner PM phone number:</t>
  </si>
  <si>
    <t>Click to go back to the Site Readiness and Pre Checks Tab</t>
  </si>
  <si>
    <t>Installation specific information (completed by Partner PM)</t>
  </si>
  <si>
    <t>IPID</t>
  </si>
  <si>
    <t>Partner PM/IPM:</t>
  </si>
  <si>
    <t>Partner PM/IPM phone number:</t>
  </si>
  <si>
    <t>Service Processor ID</t>
  </si>
  <si>
    <t>Is an ESXi 4.1 (or higher) server ready to deploy a VM for the virtual SP?</t>
  </si>
  <si>
    <t>Is this a HP direct or Partner Order?</t>
  </si>
  <si>
    <t>Total number of Disks in the System:</t>
  </si>
  <si>
    <t>Total Number of enclosures (Disk and controllers):</t>
  </si>
  <si>
    <r>
      <rPr>
        <sz val="10"/>
        <color rgb="FFFF0000"/>
        <rFont val="HP Simplified"/>
        <family val="2"/>
      </rPr>
      <t>Note:</t>
    </r>
    <r>
      <rPr>
        <sz val="10"/>
        <color theme="1"/>
        <rFont val="HP Simplified"/>
        <family val="2"/>
      </rPr>
      <t xml:space="preserve"> for remote monitoring port 443 (HTTPS) must be opened outbound between the SP and the following IP addresses:
trilogy2.3pardata.com  66.126.187.164
rmsgas01.3pardata.com  66.126.187.131
rmsgas02.3pardata.com  66.126.187.132
rmsgas03.3pardata.com  66.126.187.133
rmsgas04.3pardata.com  66.126.187.134
rmsgas05.3pardata.com  66.126.187.136</t>
    </r>
  </si>
  <si>
    <t>Total number of enclosures (Disk and controllers):</t>
  </si>
  <si>
    <t>StoreServ 7000 Installation Checklist V 2.4, © Copyright Hewlett Packard Development Company, L.P. 2012</t>
  </si>
  <si>
    <t>Customer name:</t>
  </si>
  <si>
    <t>Does the rack that is being provided meet RETMA/EIA standards?</t>
  </si>
  <si>
    <t>Number of racks:</t>
  </si>
  <si>
    <t xml:space="preserve">Customer technical contact: [if you need more contacts, click here] </t>
  </si>
  <si>
    <t>Customer email address for alert notification:</t>
  </si>
  <si>
    <t>Company name:</t>
  </si>
  <si>
    <t>HW Installation site address: Street and number</t>
  </si>
  <si>
    <t>HW Installation site address: City and postal Code</t>
  </si>
  <si>
    <t>HW Installation site address: State / Country</t>
  </si>
  <si>
    <t>IPID:</t>
  </si>
  <si>
    <t>Data provided</t>
  </si>
  <si>
    <t>Data needed</t>
  </si>
  <si>
    <t>optional Data</t>
  </si>
  <si>
    <t>HP_7000 Installation Checklist Document</t>
  </si>
  <si>
    <t xml:space="preserve">                                Customer Information  </t>
  </si>
  <si>
    <t>Role description</t>
  </si>
  <si>
    <t>First Name</t>
  </si>
  <si>
    <t>Last Name</t>
  </si>
  <si>
    <t>Office phone</t>
  </si>
  <si>
    <t>Cell or pager</t>
  </si>
  <si>
    <t>Email address</t>
  </si>
  <si>
    <t>Only Axeda 6 is supported for Dial Home and ReMops</t>
  </si>
  <si>
    <t>Please enter the fully qualified DNS domain name that is beeing used for DNS name resolution or "None" if not used.</t>
  </si>
  <si>
    <t>Customer technical contact:</t>
  </si>
  <si>
    <t>HP System Serial Number:</t>
  </si>
  <si>
    <t>Customer</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</si>
</sst>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scheme val="minor"/>
    </font>
    <font>
      <sz val="11"/>
      <color theme="1"/>
      <name val="Tahoma"/>
      <family val="2"/>
    </font>
    <font>
      <sz val="10"/>
      <color theme="1"/>
      <name val="Tahoma"/>
      <family val="2"/>
    </font>
    <font>
      <sz val="10"/>
      <color rgb="FFFF0000"/>
      <name val="Tahoma"/>
      <family val="2"/>
    </font>
    <font>
      <sz val="10"/>
      <name val="Verdana"/>
      <family val="2"/>
    </font>
    <font>
      <sz val="9"/>
      <color theme="0"/>
      <name val="Tahoma"/>
      <family val="2"/>
    </font>
    <font>
      <sz val="11"/>
      <color theme="1"/>
      <name val="HPFutura Heavy"/>
      <family val="3"/>
    </font>
    <font>
      <sz val="11"/>
      <color theme="1"/>
      <name val="HP Simplified"/>
      <family val="2"/>
    </font>
    <font>
      <b/>
      <sz val="11"/>
      <color theme="1"/>
      <name val="HPFutura Heavy"/>
      <family val="3"/>
    </font>
    <font>
      <sz val="10"/>
      <color theme="1"/>
      <name val="HP Simplified"/>
      <family val="2"/>
    </font>
    <font>
      <sz val="10"/>
      <color rgb="FFFF0000"/>
      <name val="HP Simplified"/>
      <family val="2"/>
    </font>
    <font>
      <sz val="10"/>
      <name val="HP Simplified"/>
      <family val="2"/>
    </font>
    <font>
      <b/>
      <sz val="10"/>
      <color theme="1"/>
      <name val="Courier New"/>
      <family val="3"/>
    </font>
    <font>
      <sz val="10"/>
      <color theme="1"/>
      <name val="Courier New"/>
      <family val="3"/>
    </font>
    <font>
      <sz val="11"/>
      <color theme="1"/>
      <name val="Courier New"/>
      <family val="3"/>
    </font>
    <font>
      <sz val="11"/>
      <color theme="1"/>
      <name val="Calibri"/>
      <family val="2"/>
      <scheme val="minor"/>
    </font>
    <font>
      <sz val="11"/>
      <color theme="0"/>
      <name val="Calibri"/>
      <family val="2"/>
      <scheme val="minor"/>
    </font>
    <font>
      <sz val="11"/>
      <name val="HP Simplified"/>
      <family val="2"/>
    </font>
    <font>
      <sz val="10"/>
      <color theme="0"/>
      <name val="Tahoma"/>
      <family val="2"/>
    </font>
    <font>
      <sz val="10"/>
      <color theme="0"/>
      <name val="HP Simplified"/>
      <family val="2"/>
    </font>
    <font>
      <b/>
      <sz val="11"/>
      <color rgb="FF1F497D"/>
      <name val="Calibri"/>
      <family val="2"/>
      <scheme val="minor"/>
    </font>
    <font>
      <u/>
      <sz val="11"/>
      <color theme="10"/>
      <name val="Calibri"/>
      <family val="2"/>
      <scheme val="minor"/>
    </font>
    <font>
      <sz val="11"/>
      <color rgb="FF000000"/>
      <name val="Calibri"/>
      <family val="2"/>
      <scheme val="minor"/>
    </font>
    <font>
      <sz val="11"/>
      <color theme="1"/>
      <name val="Calibri"/>
      <family val="2"/>
    </font>
    <font>
      <sz val="11"/>
      <color theme="1"/>
      <name val="HPFutura Medium"/>
      <family val="3"/>
    </font>
    <font>
      <b/>
      <sz val="9"/>
      <color indexed="81"/>
      <name val="Tahoma"/>
      <family val="2"/>
    </font>
    <font>
      <b/>
      <sz val="10"/>
      <name val="Tahoma"/>
      <family val="2"/>
    </font>
    <font>
      <b/>
      <sz val="10"/>
      <color theme="1"/>
      <name val="HP Simplified"/>
      <family val="2"/>
    </font>
    <font>
      <sz val="9"/>
      <color indexed="81"/>
      <name val="Tahoma"/>
      <family val="2"/>
    </font>
    <font>
      <b/>
      <sz val="10"/>
      <name val="Courier New"/>
      <family val="3"/>
    </font>
    <font>
      <b/>
      <sz val="11"/>
      <color theme="1"/>
      <name val="Calibri"/>
      <family val="2"/>
      <scheme val="minor"/>
    </font>
    <font>
      <b/>
      <sz val="12"/>
      <color theme="0"/>
      <name val="Calibri"/>
      <family val="2"/>
      <scheme val="minor"/>
    </font>
    <font>
      <b/>
      <sz val="12"/>
      <color theme="1"/>
      <name val="Calibri"/>
      <family val="2"/>
      <scheme val="minor"/>
    </font>
    <font>
      <sz val="11"/>
      <color indexed="18"/>
      <name val="Verdana"/>
      <family val="2"/>
    </font>
    <font>
      <u/>
      <sz val="10"/>
      <color indexed="12"/>
      <name val="Verdana"/>
      <family val="2"/>
    </font>
    <font>
      <sz val="10"/>
      <name val="Arial"/>
      <family val="2"/>
    </font>
    <font>
      <b/>
      <sz val="10"/>
      <color theme="1"/>
      <name val="Tahoma"/>
      <family val="2"/>
    </font>
  </fonts>
  <fills count="12">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DBEEF3"/>
        <bgColor indexed="64"/>
      </patternFill>
    </fill>
    <fill>
      <patternFill patternType="solid">
        <fgColor theme="6" tint="0.59996337778862885"/>
        <bgColor indexed="64"/>
      </patternFill>
    </fill>
    <fill>
      <patternFill patternType="solid">
        <fgColor indexed="9"/>
        <bgColor indexed="64"/>
      </patternFill>
    </fill>
    <fill>
      <patternFill patternType="solid">
        <fgColor indexed="51"/>
        <bgColor indexed="64"/>
      </patternFill>
    </fill>
    <fill>
      <patternFill patternType="solid">
        <fgColor rgb="FFFFCC00"/>
        <bgColor indexed="64"/>
      </patternFill>
    </fill>
  </fills>
  <borders count="16">
    <border>
      <left/>
      <right/>
      <top/>
      <bottom/>
      <diagonal/>
    </border>
    <border>
      <left style="thin">
        <color auto="1"/>
      </left>
      <right style="thin">
        <color auto="1"/>
      </right>
      <top style="thin">
        <color auto="1"/>
      </top>
      <bottom style="thin">
        <color auto="1"/>
      </bottom>
      <diagonal/>
    </border>
    <border>
      <left style="dashed">
        <color auto="1"/>
      </left>
      <right style="dashed">
        <color auto="1"/>
      </right>
      <top style="dashed">
        <color auto="1"/>
      </top>
      <bottom style="dashed">
        <color auto="1"/>
      </bottom>
      <diagonal/>
    </border>
    <border>
      <left/>
      <right/>
      <top style="thin">
        <color auto="1"/>
      </top>
      <bottom style="thin">
        <color auto="1"/>
      </bottom>
      <diagonal/>
    </border>
    <border>
      <left/>
      <right/>
      <top style="thin">
        <color auto="1"/>
      </top>
      <bottom/>
      <diagonal/>
    </border>
    <border>
      <left/>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theme="0"/>
      </left>
      <right style="medium">
        <color theme="0"/>
      </right>
      <top style="medium">
        <color theme="0"/>
      </top>
      <bottom style="medium">
        <color theme="0"/>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4" fillId="0" borderId="0"/>
    <xf numFmtId="9" fontId="15" fillId="0" borderId="0" applyFont="0" applyFill="0" applyBorder="0" applyAlignment="0" applyProtection="0"/>
    <xf numFmtId="0" fontId="21" fillId="0" borderId="0" applyNumberFormat="0" applyFill="0" applyBorder="0" applyAlignment="0" applyProtection="0"/>
    <xf numFmtId="0" fontId="34" fillId="0" borderId="0" applyNumberFormat="0" applyFill="0" applyBorder="0" applyAlignment="0" applyProtection="0">
      <alignment vertical="top"/>
      <protection locked="0"/>
    </xf>
    <xf numFmtId="0" fontId="35" fillId="0" borderId="0"/>
  </cellStyleXfs>
  <cellXfs count="185">
    <xf numFmtId="0" fontId="0" fillId="0" borderId="0" xfId="0"/>
    <xf numFmtId="0" fontId="2" fillId="0" borderId="0" xfId="0" applyFont="1" applyAlignment="1">
      <alignment horizontal="center" vertical="top" wrapText="1"/>
    </xf>
    <xf numFmtId="0" fontId="2" fillId="0" borderId="0" xfId="0" applyFont="1"/>
    <xf numFmtId="0" fontId="2" fillId="0" borderId="0" xfId="0" applyFont="1" applyAlignment="1">
      <alignment horizontal="left" vertical="top" wrapText="1"/>
    </xf>
    <xf numFmtId="0" fontId="2" fillId="0" borderId="0" xfId="0" applyFont="1" applyBorder="1" applyAlignment="1">
      <alignment horizontal="left" vertical="top" wrapText="1"/>
    </xf>
    <xf numFmtId="0" fontId="2" fillId="0" borderId="0" xfId="0" applyFont="1" applyFill="1" applyAlignment="1">
      <alignment horizontal="left" vertical="top" wrapText="1"/>
    </xf>
    <xf numFmtId="0" fontId="2" fillId="0" borderId="0" xfId="0" applyFont="1" applyBorder="1" applyAlignment="1">
      <alignment horizontal="left" vertical="top" wrapText="1"/>
    </xf>
    <xf numFmtId="0" fontId="1" fillId="0" borderId="0" xfId="0" applyFont="1" applyAlignment="1">
      <alignment horizontal="left" vertical="center" wrapText="1"/>
    </xf>
    <xf numFmtId="0" fontId="1" fillId="0" borderId="0" xfId="0" applyFont="1" applyAlignment="1">
      <alignment horizontal="left" vertical="center" wrapText="1"/>
    </xf>
    <xf numFmtId="0" fontId="1" fillId="0" borderId="0" xfId="0" applyFont="1" applyAlignment="1">
      <alignment horizontal="left" vertical="center" wrapText="1"/>
    </xf>
    <xf numFmtId="0" fontId="5" fillId="3" borderId="2" xfId="0" applyFont="1" applyFill="1" applyBorder="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horizontal="left" vertical="center" wrapText="1"/>
    </xf>
    <xf numFmtId="0" fontId="8" fillId="0" borderId="0" xfId="0" applyFont="1" applyAlignment="1">
      <alignment horizontal="left" vertical="center" wrapText="1"/>
    </xf>
    <xf numFmtId="0" fontId="8" fillId="0" borderId="0" xfId="0" applyFont="1" applyBorder="1" applyAlignment="1">
      <alignment horizontal="left" vertical="top" wrapText="1"/>
    </xf>
    <xf numFmtId="0" fontId="8" fillId="0" borderId="0" xfId="0" applyFont="1" applyAlignment="1">
      <alignment horizontal="left" vertical="top" wrapText="1"/>
    </xf>
    <xf numFmtId="0" fontId="7" fillId="0" borderId="0" xfId="0" applyFont="1" applyAlignment="1">
      <alignment horizontal="left" vertical="center" wrapText="1"/>
    </xf>
    <xf numFmtId="0" fontId="9" fillId="0" borderId="1" xfId="0" applyFont="1" applyBorder="1" applyAlignment="1">
      <alignment horizontal="left" vertical="top" wrapText="1"/>
    </xf>
    <xf numFmtId="0" fontId="9" fillId="0" borderId="0" xfId="0" applyFont="1" applyBorder="1" applyAlignment="1">
      <alignment horizontal="left" vertical="top" wrapText="1"/>
    </xf>
    <xf numFmtId="0" fontId="10"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applyBorder="1" applyAlignment="1">
      <alignment horizontal="left" vertical="top" wrapText="1"/>
    </xf>
    <xf numFmtId="0" fontId="9" fillId="0" borderId="0" xfId="0" applyFont="1"/>
    <xf numFmtId="0" fontId="9" fillId="0" borderId="0" xfId="0" applyFont="1" applyFill="1" applyAlignment="1">
      <alignment horizontal="left" vertical="top" wrapText="1"/>
    </xf>
    <xf numFmtId="0" fontId="12" fillId="0" borderId="0" xfId="0" applyFont="1" applyAlignment="1">
      <alignment horizontal="left" vertical="top" wrapText="1"/>
    </xf>
    <xf numFmtId="0" fontId="13" fillId="0" borderId="0" xfId="0" applyFont="1" applyBorder="1" applyAlignment="1">
      <alignment horizontal="left" vertical="top" wrapText="1"/>
    </xf>
    <xf numFmtId="0" fontId="12" fillId="2" borderId="1" xfId="0" applyFont="1" applyFill="1" applyBorder="1" applyAlignment="1">
      <alignment horizontal="left" vertical="top" wrapText="1"/>
    </xf>
    <xf numFmtId="0" fontId="13" fillId="0" borderId="0" xfId="0" applyFont="1"/>
    <xf numFmtId="0" fontId="14" fillId="0" borderId="0" xfId="0" applyFont="1" applyAlignment="1">
      <alignment horizontal="left" vertical="center" wrapText="1"/>
    </xf>
    <xf numFmtId="0" fontId="12" fillId="0" borderId="0" xfId="0" applyFont="1" applyFill="1" applyBorder="1" applyAlignment="1">
      <alignment horizontal="left" vertical="top" wrapText="1"/>
    </xf>
    <xf numFmtId="0" fontId="2" fillId="0" borderId="0" xfId="0" applyFont="1" applyBorder="1" applyAlignment="1">
      <alignment horizontal="left" vertical="top" wrapText="1"/>
    </xf>
    <xf numFmtId="0" fontId="9" fillId="0" borderId="0" xfId="0" applyFont="1" applyBorder="1" applyAlignment="1">
      <alignment horizontal="left" vertical="top" wrapText="1"/>
    </xf>
    <xf numFmtId="0" fontId="12" fillId="0" borderId="3" xfId="0" applyFont="1" applyFill="1" applyBorder="1" applyAlignment="1">
      <alignment horizontal="left" vertical="top" wrapText="1"/>
    </xf>
    <xf numFmtId="9" fontId="12" fillId="0" borderId="4" xfId="2" applyFont="1" applyFill="1" applyBorder="1" applyAlignment="1">
      <alignment horizontal="left" vertical="top" wrapText="1"/>
    </xf>
    <xf numFmtId="9" fontId="12" fillId="0" borderId="0" xfId="2" applyFont="1" applyFill="1" applyBorder="1" applyAlignment="1">
      <alignment horizontal="left" vertical="top" wrapText="1"/>
    </xf>
    <xf numFmtId="9" fontId="12" fillId="0" borderId="5" xfId="2" applyFont="1" applyFill="1" applyBorder="1" applyAlignment="1">
      <alignment horizontal="left" vertical="top" wrapText="1"/>
    </xf>
    <xf numFmtId="0" fontId="12" fillId="0" borderId="4" xfId="0" applyFont="1" applyFill="1" applyBorder="1" applyAlignment="1">
      <alignment horizontal="left" vertical="top" wrapText="1"/>
    </xf>
    <xf numFmtId="0" fontId="12" fillId="0" borderId="5" xfId="0" applyFont="1" applyFill="1" applyBorder="1" applyAlignment="1">
      <alignment horizontal="left" vertical="top" wrapText="1"/>
    </xf>
    <xf numFmtId="0" fontId="9" fillId="0" borderId="1" xfId="0" applyFont="1" applyBorder="1" applyAlignment="1">
      <alignment horizontal="left" vertical="center" wrapText="1"/>
    </xf>
    <xf numFmtId="0" fontId="18" fillId="0" borderId="10" xfId="0" applyFont="1" applyBorder="1"/>
    <xf numFmtId="0" fontId="2" fillId="0" borderId="10" xfId="0" applyFont="1" applyBorder="1" applyProtection="1">
      <protection locked="0"/>
    </xf>
    <xf numFmtId="0" fontId="12" fillId="2" borderId="1" xfId="0" applyFont="1" applyFill="1" applyBorder="1" applyAlignment="1" applyProtection="1">
      <alignment horizontal="left" vertical="top" wrapText="1"/>
      <protection locked="0"/>
    </xf>
    <xf numFmtId="0" fontId="16" fillId="0" borderId="0" xfId="0" applyFont="1" applyProtection="1"/>
    <xf numFmtId="0" fontId="19" fillId="0" borderId="0" xfId="0" applyFont="1" applyAlignment="1">
      <alignment horizontal="left" vertical="top" wrapText="1"/>
    </xf>
    <xf numFmtId="0" fontId="20" fillId="0" borderId="0" xfId="0" applyFont="1" applyAlignment="1">
      <alignment vertical="center"/>
    </xf>
    <xf numFmtId="0" fontId="9" fillId="0" borderId="0" xfId="0" applyFont="1" applyBorder="1" applyAlignment="1">
      <alignment horizontal="left" vertical="top" wrapText="1"/>
    </xf>
    <xf numFmtId="0" fontId="9" fillId="0" borderId="0" xfId="0" applyFont="1" applyAlignment="1">
      <alignment horizontal="left" vertical="center" wrapText="1"/>
    </xf>
    <xf numFmtId="0" fontId="7" fillId="2" borderId="0" xfId="0" applyFont="1" applyFill="1" applyBorder="1" applyAlignment="1">
      <alignment horizontal="left" vertical="top" wrapText="1"/>
    </xf>
    <xf numFmtId="0" fontId="7" fillId="2" borderId="0" xfId="0" applyFont="1" applyFill="1" applyAlignment="1">
      <alignment horizontal="left" vertical="top" wrapText="1"/>
    </xf>
    <xf numFmtId="0" fontId="9" fillId="0" borderId="0" xfId="0" applyFont="1" applyBorder="1" applyAlignment="1">
      <alignment horizontal="left" vertical="top" wrapText="1"/>
    </xf>
    <xf numFmtId="0" fontId="6" fillId="0" borderId="0" xfId="0" applyFont="1" applyAlignment="1">
      <alignment horizontal="left" vertical="center" wrapText="1"/>
    </xf>
    <xf numFmtId="0" fontId="3" fillId="0" borderId="0" xfId="0" applyFont="1" applyFill="1" applyAlignment="1">
      <alignment horizontal="left" vertical="top" wrapText="1"/>
    </xf>
    <xf numFmtId="0" fontId="2" fillId="0" borderId="0" xfId="0" applyFont="1" applyAlignment="1">
      <alignment horizontal="left" vertical="top" wrapText="1"/>
    </xf>
    <xf numFmtId="0" fontId="9" fillId="0" borderId="0" xfId="0" applyFont="1" applyFill="1" applyAlignment="1">
      <alignment vertical="top" wrapText="1"/>
    </xf>
    <xf numFmtId="0" fontId="6" fillId="0" borderId="0" xfId="0" applyFont="1" applyAlignment="1">
      <alignment horizontal="right" vertical="top" wrapText="1"/>
    </xf>
    <xf numFmtId="0" fontId="7" fillId="0" borderId="0" xfId="0" applyFont="1" applyAlignment="1">
      <alignment horizontal="right" vertical="top" wrapText="1"/>
    </xf>
    <xf numFmtId="0" fontId="9" fillId="0" borderId="0" xfId="0" applyFont="1" applyAlignment="1">
      <alignment horizontal="right" vertical="top" wrapText="1"/>
    </xf>
    <xf numFmtId="0" fontId="13" fillId="0" borderId="0" xfId="0" applyFont="1" applyFill="1" applyAlignment="1">
      <alignment horizontal="right" vertical="top" wrapText="1"/>
    </xf>
    <xf numFmtId="0" fontId="13" fillId="0" borderId="0" xfId="0" applyFont="1" applyAlignment="1">
      <alignment horizontal="right" vertical="top" wrapText="1"/>
    </xf>
    <xf numFmtId="0" fontId="13" fillId="0" borderId="0" xfId="0" applyFont="1" applyBorder="1" applyAlignment="1">
      <alignment horizontal="right" vertical="top" wrapText="1"/>
    </xf>
    <xf numFmtId="0" fontId="12" fillId="2" borderId="1" xfId="0" applyFont="1" applyFill="1" applyBorder="1" applyAlignment="1">
      <alignment horizontal="right" vertical="top" wrapText="1"/>
    </xf>
    <xf numFmtId="0" fontId="12" fillId="4" borderId="1" xfId="0" applyFont="1" applyFill="1" applyBorder="1" applyAlignment="1">
      <alignment horizontal="right" vertical="top" wrapText="1"/>
    </xf>
    <xf numFmtId="0" fontId="12" fillId="0" borderId="0" xfId="0" applyFont="1" applyAlignment="1">
      <alignment horizontal="right" vertical="top" wrapText="1"/>
    </xf>
    <xf numFmtId="0" fontId="13" fillId="0" borderId="0" xfId="0" applyFont="1" applyAlignment="1">
      <alignment horizontal="right" vertical="top"/>
    </xf>
    <xf numFmtId="0" fontId="13" fillId="2" borderId="1" xfId="0" applyFont="1" applyFill="1" applyBorder="1" applyAlignment="1">
      <alignment horizontal="right" vertical="top" wrapText="1"/>
    </xf>
    <xf numFmtId="0" fontId="9" fillId="0" borderId="0" xfId="0" applyFont="1" applyAlignment="1">
      <alignment wrapText="1"/>
    </xf>
    <xf numFmtId="0" fontId="3" fillId="0" borderId="0" xfId="0" applyFont="1"/>
    <xf numFmtId="0" fontId="22" fillId="0" borderId="0" xfId="0" applyFont="1"/>
    <xf numFmtId="0" fontId="23" fillId="0" borderId="0" xfId="0" applyFont="1"/>
    <xf numFmtId="0" fontId="0" fillId="0" borderId="0" xfId="0" applyBorder="1" applyProtection="1">
      <protection locked="0"/>
    </xf>
    <xf numFmtId="0" fontId="21" fillId="0" borderId="1" xfId="3" applyFill="1" applyBorder="1" applyAlignment="1" applyProtection="1">
      <alignment horizontal="left" vertical="top" wrapText="1"/>
      <protection locked="0"/>
    </xf>
    <xf numFmtId="0" fontId="9" fillId="0" borderId="1" xfId="0" applyFont="1" applyFill="1" applyBorder="1" applyAlignment="1">
      <alignment horizontal="left" vertical="top" wrapText="1"/>
    </xf>
    <xf numFmtId="0" fontId="0" fillId="0" borderId="0" xfId="0" applyAlignment="1">
      <alignment horizontal="left"/>
    </xf>
    <xf numFmtId="0" fontId="7" fillId="6" borderId="0" xfId="0" applyFont="1" applyFill="1" applyAlignment="1">
      <alignment horizontal="left" vertical="center" wrapText="1"/>
    </xf>
    <xf numFmtId="0" fontId="12" fillId="6" borderId="1" xfId="0" applyFont="1" applyFill="1" applyBorder="1" applyAlignment="1" applyProtection="1">
      <alignment horizontal="left" vertical="top" wrapText="1"/>
      <protection locked="0"/>
    </xf>
    <xf numFmtId="49" fontId="12" fillId="6" borderId="1" xfId="0" applyNumberFormat="1" applyFont="1" applyFill="1" applyBorder="1" applyAlignment="1" applyProtection="1">
      <alignment horizontal="left" vertical="top" wrapText="1"/>
      <protection locked="0"/>
    </xf>
    <xf numFmtId="0" fontId="12" fillId="6" borderId="1" xfId="0" applyFont="1" applyFill="1" applyBorder="1" applyAlignment="1" applyProtection="1">
      <alignment horizontal="left" vertical="center" wrapText="1"/>
      <protection locked="0"/>
    </xf>
    <xf numFmtId="0" fontId="9" fillId="0" borderId="4" xfId="0" applyFont="1" applyBorder="1" applyAlignment="1">
      <alignment horizontal="left" vertical="top" wrapText="1"/>
    </xf>
    <xf numFmtId="0" fontId="12" fillId="7" borderId="1" xfId="0" applyFont="1" applyFill="1" applyBorder="1" applyAlignment="1">
      <alignment horizontal="right" vertical="top" wrapText="1"/>
    </xf>
    <xf numFmtId="0" fontId="7" fillId="8" borderId="0" xfId="0" applyFont="1" applyFill="1" applyAlignment="1">
      <alignment horizontal="left" vertical="center" wrapText="1"/>
    </xf>
    <xf numFmtId="0" fontId="7" fillId="8" borderId="0" xfId="0" applyFont="1" applyFill="1" applyAlignment="1">
      <alignment horizontal="right" vertical="top" wrapText="1"/>
    </xf>
    <xf numFmtId="0" fontId="27" fillId="0" borderId="0" xfId="0" applyFont="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center" vertical="top" wrapText="1"/>
    </xf>
    <xf numFmtId="0" fontId="0" fillId="2" borderId="1" xfId="3" applyFont="1" applyFill="1" applyBorder="1" applyAlignment="1" applyProtection="1">
      <alignment horizontal="left" vertical="top" wrapText="1"/>
      <protection locked="0"/>
    </xf>
    <xf numFmtId="0" fontId="2" fillId="0" borderId="0" xfId="0" applyFont="1" applyAlignment="1">
      <alignment horizontal="left" vertical="top" wrapText="1"/>
    </xf>
    <xf numFmtId="0" fontId="2" fillId="0" borderId="0" xfId="0" applyFont="1" applyAlignment="1">
      <alignment horizontal="center" vertical="top" wrapText="1"/>
    </xf>
    <xf numFmtId="0" fontId="12" fillId="2" borderId="1" xfId="0" applyFont="1" applyFill="1" applyBorder="1" applyAlignment="1" applyProtection="1">
      <alignment horizontal="left" vertical="center" wrapText="1"/>
      <protection locked="0"/>
    </xf>
    <xf numFmtId="0" fontId="0" fillId="0" borderId="0" xfId="0" applyAlignment="1">
      <alignment wrapText="1"/>
    </xf>
    <xf numFmtId="0" fontId="7" fillId="8" borderId="0" xfId="0" applyFont="1" applyFill="1" applyAlignment="1">
      <alignment horizontal="center" vertical="top" wrapText="1"/>
    </xf>
    <xf numFmtId="0" fontId="7" fillId="0" borderId="0" xfId="0" applyFont="1" applyAlignment="1">
      <alignment horizontal="center" vertical="top" wrapText="1"/>
    </xf>
    <xf numFmtId="0" fontId="0" fillId="0" borderId="0" xfId="0" applyAlignment="1" applyProtection="1">
      <alignment horizontal="center" wrapText="1"/>
      <protection locked="0"/>
    </xf>
    <xf numFmtId="0" fontId="2" fillId="0" borderId="0" xfId="0" applyFont="1" applyAlignment="1">
      <alignment horizontal="center" vertical="top" wrapText="1"/>
    </xf>
    <xf numFmtId="0" fontId="12" fillId="4" borderId="1" xfId="0" applyFont="1" applyFill="1" applyBorder="1" applyAlignment="1" applyProtection="1">
      <alignment horizontal="right" vertical="top" wrapText="1"/>
    </xf>
    <xf numFmtId="0" fontId="29" fillId="6" borderId="1" xfId="0" applyFont="1" applyFill="1" applyBorder="1" applyAlignment="1" applyProtection="1">
      <alignment horizontal="left" vertical="top" wrapText="1"/>
      <protection locked="0"/>
    </xf>
    <xf numFmtId="0" fontId="29" fillId="2" borderId="1" xfId="0" applyFont="1" applyFill="1" applyBorder="1" applyAlignment="1">
      <alignment horizontal="right" vertical="top" wrapText="1"/>
    </xf>
    <xf numFmtId="0" fontId="2" fillId="0" borderId="0" xfId="0" applyFont="1" applyAlignment="1">
      <alignment horizontal="center" vertical="top" wrapText="1"/>
    </xf>
    <xf numFmtId="0" fontId="0" fillId="0" borderId="0" xfId="0" applyAlignment="1">
      <alignment horizontal="left"/>
    </xf>
    <xf numFmtId="0" fontId="2" fillId="0" borderId="0" xfId="0" applyFont="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center" vertical="top" wrapText="1"/>
    </xf>
    <xf numFmtId="0" fontId="9" fillId="0" borderId="0" xfId="0" applyFont="1" applyBorder="1" applyAlignment="1">
      <alignment horizontal="left" vertical="top" wrapText="1"/>
    </xf>
    <xf numFmtId="0" fontId="2" fillId="0" borderId="0" xfId="0" applyFont="1" applyAlignment="1">
      <alignment vertical="center"/>
    </xf>
    <xf numFmtId="0" fontId="7" fillId="0" borderId="0" xfId="0" applyFont="1" applyFill="1" applyAlignment="1">
      <alignment vertical="top" wrapText="1"/>
    </xf>
    <xf numFmtId="0" fontId="7" fillId="0" borderId="0" xfId="0" applyFont="1" applyAlignment="1">
      <alignment horizontal="center" vertical="center" wrapText="1"/>
    </xf>
    <xf numFmtId="0" fontId="7" fillId="8" borderId="0" xfId="0" applyFont="1" applyFill="1" applyAlignment="1" applyProtection="1">
      <alignment horizontal="right" vertical="top" wrapText="1"/>
      <protection hidden="1"/>
    </xf>
    <xf numFmtId="0" fontId="2" fillId="0" borderId="0" xfId="0" applyFont="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center" vertical="top" wrapText="1"/>
    </xf>
    <xf numFmtId="0" fontId="9" fillId="0" borderId="0" xfId="0" applyFont="1" applyBorder="1" applyAlignment="1">
      <alignment horizontal="left" vertical="top" wrapText="1"/>
    </xf>
    <xf numFmtId="0" fontId="6" fillId="0" borderId="0" xfId="0" applyFont="1" applyAlignment="1">
      <alignment horizontal="left" vertical="center" wrapText="1"/>
    </xf>
    <xf numFmtId="0" fontId="9" fillId="0" borderId="0" xfId="0" applyFont="1" applyFill="1" applyAlignment="1">
      <alignment horizontal="left" vertical="top" wrapText="1"/>
    </xf>
    <xf numFmtId="0" fontId="3" fillId="0" borderId="0" xfId="0" applyFont="1" applyFill="1" applyAlignment="1">
      <alignment horizontal="left" vertical="top" wrapText="1"/>
    </xf>
    <xf numFmtId="0" fontId="2" fillId="0" borderId="0" xfId="0" applyFont="1" applyAlignment="1">
      <alignment horizontal="center" vertical="top" wrapText="1"/>
    </xf>
    <xf numFmtId="0" fontId="7" fillId="0" borderId="0" xfId="0" applyFont="1" applyFill="1" applyAlignment="1">
      <alignment horizontal="right" vertical="top" wrapText="1"/>
    </xf>
    <xf numFmtId="0" fontId="29" fillId="2" borderId="1" xfId="0" applyFont="1" applyFill="1" applyBorder="1" applyAlignment="1" applyProtection="1">
      <alignment horizontal="left" vertical="top" wrapText="1"/>
      <protection locked="0"/>
    </xf>
    <xf numFmtId="0" fontId="16" fillId="0" borderId="0" xfId="0" applyFont="1" applyProtection="1">
      <protection hidden="1"/>
    </xf>
    <xf numFmtId="0" fontId="2" fillId="0" borderId="0" xfId="0" applyFont="1" applyAlignment="1">
      <alignment horizontal="center" vertical="center"/>
    </xf>
    <xf numFmtId="0" fontId="31" fillId="0" borderId="0" xfId="0" applyFont="1" applyAlignment="1">
      <alignment horizontal="center" vertical="center" wrapText="1"/>
    </xf>
    <xf numFmtId="0" fontId="4" fillId="0" borderId="0" xfId="1" applyFont="1"/>
    <xf numFmtId="0" fontId="4" fillId="0" borderId="1" xfId="1" applyFont="1" applyBorder="1" applyAlignment="1"/>
    <xf numFmtId="0" fontId="4" fillId="10" borderId="1" xfId="1" applyFont="1" applyFill="1" applyBorder="1" applyAlignment="1" applyProtection="1">
      <protection locked="0"/>
    </xf>
    <xf numFmtId="0" fontId="4" fillId="11" borderId="1" xfId="1" applyFont="1" applyFill="1" applyBorder="1" applyAlignment="1" applyProtection="1">
      <protection locked="0"/>
    </xf>
    <xf numFmtId="0" fontId="21" fillId="0" borderId="1" xfId="3" applyFill="1" applyBorder="1" applyAlignment="1" applyProtection="1">
      <alignment horizontal="left" vertical="top" wrapText="1"/>
      <protection locked="0" hidden="1"/>
    </xf>
    <xf numFmtId="0" fontId="21" fillId="0" borderId="1" xfId="3" applyBorder="1" applyAlignment="1" applyProtection="1">
      <alignment horizontal="left" vertical="center" wrapText="1"/>
      <protection locked="0" hidden="1"/>
    </xf>
    <xf numFmtId="0" fontId="16" fillId="0" borderId="0" xfId="0" applyFont="1" applyBorder="1" applyAlignment="1" applyProtection="1">
      <alignment vertical="center" wrapText="1"/>
      <protection locked="0"/>
    </xf>
    <xf numFmtId="0" fontId="0" fillId="0" borderId="0" xfId="0" applyAlignment="1" applyProtection="1">
      <alignment vertical="center" wrapText="1"/>
      <protection locked="0"/>
    </xf>
    <xf numFmtId="0" fontId="16" fillId="0" borderId="0" xfId="0" applyFont="1" applyAlignment="1">
      <alignment horizontal="center" vertical="center" wrapText="1"/>
    </xf>
    <xf numFmtId="0" fontId="17" fillId="0" borderId="0" xfId="0" applyFont="1" applyAlignment="1">
      <alignment vertical="center" wrapText="1"/>
    </xf>
    <xf numFmtId="0" fontId="0" fillId="0" borderId="0" xfId="0" applyAlignment="1">
      <alignment vertical="center" wrapText="1"/>
    </xf>
    <xf numFmtId="0" fontId="6" fillId="0" borderId="0" xfId="0" applyFont="1" applyAlignment="1">
      <alignment horizontal="left"/>
    </xf>
    <xf numFmtId="0" fontId="0" fillId="0" borderId="0" xfId="0" applyAlignment="1">
      <alignment horizontal="left"/>
    </xf>
    <xf numFmtId="0" fontId="24"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21" fillId="0" borderId="0" xfId="3" applyAlignment="1" applyProtection="1">
      <alignment horizontal="center" vertical="center"/>
      <protection locked="0"/>
    </xf>
    <xf numFmtId="0" fontId="7" fillId="0" borderId="0" xfId="0" applyFont="1" applyAlignment="1">
      <alignment horizontal="left" vertical="top" wrapText="1"/>
    </xf>
    <xf numFmtId="0" fontId="0" fillId="0" borderId="0" xfId="0" applyAlignment="1">
      <alignment horizontal="left" vertical="top"/>
    </xf>
    <xf numFmtId="0" fontId="2" fillId="0" borderId="0" xfId="0" applyFont="1" applyBorder="1" applyAlignment="1">
      <alignment horizontal="left" vertical="top" wrapText="1"/>
    </xf>
    <xf numFmtId="0" fontId="5" fillId="5" borderId="11" xfId="0" applyFont="1" applyFill="1" applyBorder="1" applyAlignment="1">
      <alignment horizontal="center" vertical="center" wrapText="1"/>
    </xf>
    <xf numFmtId="0" fontId="16" fillId="5" borderId="12" xfId="0" applyFont="1" applyFill="1" applyBorder="1" applyAlignment="1">
      <alignment wrapText="1"/>
    </xf>
    <xf numFmtId="0" fontId="16" fillId="5" borderId="13" xfId="0" applyFont="1" applyFill="1" applyBorder="1" applyAlignment="1">
      <alignment wrapText="1"/>
    </xf>
    <xf numFmtId="0" fontId="2"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wrapText="1"/>
    </xf>
    <xf numFmtId="0" fontId="24" fillId="0" borderId="0" xfId="0" applyFont="1" applyAlignment="1">
      <alignment horizontal="center" vertical="center" wrapText="1"/>
    </xf>
    <xf numFmtId="0" fontId="32"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xf numFmtId="0" fontId="21" fillId="0" borderId="0" xfId="3" applyAlignment="1" applyProtection="1">
      <alignment horizontal="center" wrapText="1"/>
      <protection locked="0"/>
    </xf>
    <xf numFmtId="0" fontId="21" fillId="0" borderId="0" xfId="3" applyFill="1" applyAlignment="1" applyProtection="1">
      <alignment horizontal="center" wrapText="1"/>
      <protection locked="0"/>
    </xf>
    <xf numFmtId="0" fontId="21" fillId="0" borderId="0" xfId="3" applyAlignment="1" applyProtection="1">
      <alignment wrapText="1"/>
      <protection locked="0"/>
    </xf>
    <xf numFmtId="0" fontId="36" fillId="0" borderId="0" xfId="0" applyFont="1" applyAlignment="1">
      <alignment horizontal="center" vertical="center" wrapText="1"/>
    </xf>
    <xf numFmtId="0" fontId="30" fillId="0" borderId="0" xfId="0" applyFont="1" applyAlignment="1">
      <alignment horizontal="center" vertical="center" wrapText="1"/>
    </xf>
    <xf numFmtId="0" fontId="2" fillId="0" borderId="0" xfId="0" applyFont="1" applyBorder="1" applyAlignment="1">
      <alignment horizontal="center" vertical="center" wrapText="1"/>
    </xf>
    <xf numFmtId="0" fontId="2" fillId="0" borderId="0" xfId="0" applyFont="1" applyAlignment="1">
      <alignment horizontal="center" vertical="top" wrapText="1"/>
    </xf>
    <xf numFmtId="0" fontId="9" fillId="0" borderId="0" xfId="0" applyFont="1" applyBorder="1" applyAlignment="1">
      <alignment horizontal="left" vertical="top" wrapText="1"/>
    </xf>
    <xf numFmtId="0" fontId="3" fillId="0" borderId="0" xfId="0" applyFont="1" applyFill="1" applyAlignment="1">
      <alignment horizontal="left" vertical="top" wrapText="1"/>
    </xf>
    <xf numFmtId="0" fontId="6" fillId="0" borderId="0" xfId="0" applyFont="1" applyAlignment="1">
      <alignment horizontal="left" vertical="center" wrapText="1"/>
    </xf>
    <xf numFmtId="0" fontId="9" fillId="0" borderId="0" xfId="0" applyFont="1" applyFill="1" applyAlignment="1">
      <alignment horizontal="left" vertical="top" wrapText="1"/>
    </xf>
    <xf numFmtId="0" fontId="26" fillId="0" borderId="0" xfId="0" applyFont="1" applyFill="1" applyAlignment="1">
      <alignment horizontal="left" vertical="top" wrapText="1"/>
    </xf>
    <xf numFmtId="0" fontId="9" fillId="0" borderId="0" xfId="0" applyFont="1" applyAlignment="1">
      <alignment horizontal="center" vertical="center" wrapText="1"/>
    </xf>
    <xf numFmtId="0" fontId="0" fillId="0" borderId="0" xfId="0" applyAlignment="1">
      <alignment horizontal="center" vertical="center"/>
    </xf>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4" xfId="0" applyBorder="1" applyAlignment="1"/>
    <xf numFmtId="0" fontId="0" fillId="3" borderId="0" xfId="0" applyFill="1" applyAlignment="1">
      <alignment horizontal="center" vertical="center"/>
    </xf>
    <xf numFmtId="0" fontId="0" fillId="3" borderId="0" xfId="0" applyFill="1" applyAlignment="1">
      <alignment horizontal="center" vertical="center" wrapText="1"/>
    </xf>
    <xf numFmtId="0" fontId="33" fillId="0" borderId="0" xfId="1" applyFont="1" applyAlignment="1">
      <alignment horizontal="left"/>
    </xf>
    <xf numFmtId="0" fontId="4" fillId="0" borderId="0" xfId="1" applyFont="1" applyBorder="1" applyAlignment="1">
      <alignment horizontal="left"/>
    </xf>
    <xf numFmtId="0" fontId="4" fillId="9" borderId="0" xfId="1" applyFont="1" applyFill="1" applyBorder="1" applyAlignment="1">
      <alignment horizontal="left"/>
    </xf>
    <xf numFmtId="0" fontId="4" fillId="0" borderId="14" xfId="1" applyFont="1" applyBorder="1" applyAlignment="1">
      <alignment horizontal="left"/>
    </xf>
    <xf numFmtId="0" fontId="4" fillId="0" borderId="15" xfId="1" applyFont="1" applyBorder="1" applyAlignment="1">
      <alignment horizontal="left"/>
    </xf>
    <xf numFmtId="0" fontId="4" fillId="0" borderId="14" xfId="1" applyBorder="1" applyAlignment="1" applyProtection="1">
      <alignment horizontal="left"/>
      <protection locked="0"/>
    </xf>
    <xf numFmtId="0" fontId="4" fillId="0" borderId="15" xfId="1" applyFont="1" applyBorder="1" applyAlignment="1" applyProtection="1">
      <alignment horizontal="left"/>
      <protection locked="0"/>
    </xf>
    <xf numFmtId="49" fontId="4" fillId="10" borderId="14" xfId="1" applyNumberFormat="1" applyFont="1" applyFill="1" applyBorder="1" applyAlignment="1" applyProtection="1">
      <alignment horizontal="left"/>
      <protection locked="0"/>
    </xf>
    <xf numFmtId="49" fontId="4" fillId="10" borderId="15" xfId="1" applyNumberFormat="1" applyFont="1" applyFill="1" applyBorder="1" applyAlignment="1" applyProtection="1">
      <alignment horizontal="left"/>
      <protection locked="0"/>
    </xf>
    <xf numFmtId="0" fontId="4" fillId="10" borderId="14" xfId="1" applyFont="1" applyFill="1" applyBorder="1" applyAlignment="1" applyProtection="1">
      <alignment horizontal="left"/>
      <protection locked="0"/>
    </xf>
    <xf numFmtId="0" fontId="4" fillId="10" borderId="15" xfId="1" applyFont="1" applyFill="1" applyBorder="1" applyAlignment="1" applyProtection="1">
      <alignment horizontal="left"/>
      <protection locked="0"/>
    </xf>
    <xf numFmtId="0" fontId="34" fillId="10" borderId="14" xfId="4" applyFont="1" applyFill="1" applyBorder="1" applyAlignment="1" applyProtection="1">
      <alignment horizontal="left"/>
      <protection locked="0"/>
    </xf>
    <xf numFmtId="0" fontId="0" fillId="0" borderId="15" xfId="0" applyBorder="1" applyAlignment="1" applyProtection="1">
      <alignment horizontal="left"/>
      <protection locked="0"/>
    </xf>
    <xf numFmtId="0" fontId="4" fillId="11" borderId="14" xfId="1" applyFont="1" applyFill="1" applyBorder="1" applyAlignment="1" applyProtection="1">
      <alignment horizontal="left"/>
      <protection locked="0"/>
    </xf>
    <xf numFmtId="0" fontId="4" fillId="11" borderId="15" xfId="1" applyFont="1" applyFill="1" applyBorder="1" applyAlignment="1" applyProtection="1">
      <alignment horizontal="left"/>
      <protection locked="0"/>
    </xf>
  </cellXfs>
  <cellStyles count="6">
    <cellStyle name="Hyperlink" xfId="3" builtinId="8"/>
    <cellStyle name="Hyperlink 2" xfId="4"/>
    <cellStyle name="Normal" xfId="0" builtinId="0"/>
    <cellStyle name="Normal 2" xfId="5"/>
    <cellStyle name="Normal 3" xfId="1"/>
    <cellStyle name="Percent" xfId="2" builtinId="5"/>
  </cellStyles>
  <dxfs count="174">
    <dxf>
      <fill>
        <patternFill>
          <bgColor rgb="FFFF0000"/>
        </patternFill>
      </fill>
    </dxf>
    <dxf>
      <numFmt numFmtId="0" formatCode="General"/>
    </dxf>
    <dxf>
      <fill>
        <patternFill>
          <bgColor rgb="FFFF0000"/>
        </patternFill>
      </fill>
    </dxf>
    <dxf>
      <numFmt numFmtId="0" formatCode="Genera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numFmt numFmtId="0" formatCode="General"/>
    </dxf>
    <dxf>
      <fill>
        <patternFill>
          <bgColor rgb="FFFF0000"/>
        </patternFill>
      </fill>
    </dxf>
    <dxf>
      <numFmt numFmtId="0" formatCode="Genera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92D050"/>
        </patternFill>
      </fill>
    </dxf>
    <dxf>
      <numFmt numFmtId="0" formatCode="Genera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92D050"/>
        </patternFill>
      </fill>
    </dxf>
    <dxf>
      <numFmt numFmtId="0" formatCode="General"/>
    </dxf>
    <dxf>
      <font>
        <color theme="1"/>
      </font>
      <fill>
        <patternFill>
          <bgColor rgb="FF92D050"/>
        </patternFill>
      </fill>
    </dxf>
  </dxfs>
  <tableStyles count="0" defaultTableStyle="TableStyleMedium2" defaultPivotStyle="PivotStyleLight16"/>
  <colors>
    <mruColors>
      <color rgb="FFDBEEF3"/>
      <color rgb="FF99CC00"/>
      <color rgb="FF00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133351</xdr:colOff>
      <xdr:row>0</xdr:row>
      <xdr:rowOff>1</xdr:rowOff>
    </xdr:from>
    <xdr:to>
      <xdr:col>8</xdr:col>
      <xdr:colOff>594015</xdr:colOff>
      <xdr:row>2</xdr:row>
      <xdr:rowOff>9525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576" y="1"/>
          <a:ext cx="1908464" cy="828674"/>
        </a:xfrm>
        <a:prstGeom prst="rect">
          <a:avLst/>
        </a:prstGeom>
        <a:effectLst>
          <a:outerShdw blurRad="50800" dist="50800" dir="5400000" algn="ctr" rotWithShape="0">
            <a:srgbClr val="000000">
              <a:alpha val="0"/>
            </a:srgbClr>
          </a:outerShdw>
          <a:reflection stA="0" endPos="65000" dist="50800" dir="5400000" sy="-100000" algn="bl" rotWithShape="0"/>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3</xdr:row>
      <xdr:rowOff>47628</xdr:rowOff>
    </xdr:from>
    <xdr:to>
      <xdr:col>3</xdr:col>
      <xdr:colOff>114300</xdr:colOff>
      <xdr:row>49</xdr:row>
      <xdr:rowOff>47626</xdr:rowOff>
    </xdr:to>
    <xdr:sp macro="" textlink="">
      <xdr:nvSpPr>
        <xdr:cNvPr id="2" name="TextBox 1"/>
        <xdr:cNvSpPr txBox="1"/>
      </xdr:nvSpPr>
      <xdr:spPr>
        <a:xfrm>
          <a:off x="152400" y="638178"/>
          <a:ext cx="5457825" cy="87629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The Customer must meet certain hardware and software prerequisites prior to onsite delivery of the service. These prerequisites include, but are</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not limited to, the following</a:t>
          </a:r>
          <a:r>
            <a:rPr lang="en-US" sz="1100" baseline="0">
              <a:solidFill>
                <a:schemeClr val="dk1"/>
              </a:solidFill>
              <a:effectLst/>
              <a:latin typeface="+mn-lt"/>
              <a:ea typeface="+mn-ea"/>
              <a:cs typeface="+mn-cs"/>
            </a:rPr>
            <a:t> bulleted items. </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The Customer's existing computing operating system platform(s) must be supported by and be compatible with the HP 3PAR StoreServ 7000</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Storage product being installed.</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The Customer's SAN environment must be fully operational in a configuration supported by HP, and connectivity must be available and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operational in the location where the array will be installed.</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The Customer must provide and verify a suitable physical operating environment for the array product, including implementation of any power,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cooling, and other environmental requirements.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For array upgrade installation, the HP 3PAR StoreServ 7000 Storage product must be fully operational, in a supported configuration, and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physically located where the upgrade will be installed.</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The Customer is responsible for determining and installing any HP required host- or SAN-based software upgrades, patches, device drivers, or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multipathing software.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The Customer is responsible for providing servers/workstations and network provisioning that meet the requirements for software products as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applicable, such as the Smart Start, Virtual Service Processor software, and HP 3PAR Management Console.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The Customer must provide appropriate network provisioning to enable the HP remote support and monitoring solution.</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Complete and return the prerequisite HP predelivery checklist to the service specialist at least two weeks prior to the start of the service,</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including array configuration information for upgrade installations, as necessary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Assemble and configure the customer-supplied rack for the rack mount version of the array product and position it in the location where the</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array will be installed; this requirement is applicable to any rack (including generic HP racks) other than the enclosure that is factory integrated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with the array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Adhere to licensing terms and conditions regarding the use of any HP service tools used to facilitate the delivery of this service or support tools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used to provide ongoing remote monitoring, if applicable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Prior to upgrade installation by HP and installation of any required HP 3PAR Operating System upgrades or patches, ensure that HP 3PAR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Operating System upgrades or patches are compatible with the Customer’s host and SAN environment</a:t>
          </a:r>
        </a:p>
        <a:p>
          <a:r>
            <a:rPr lang="en-US" sz="1000">
              <a:solidFill>
                <a:schemeClr val="dk1"/>
              </a:solidFill>
              <a:effectLst/>
              <a:latin typeface="HPFutura Medium" pitchFamily="50" charset="0"/>
              <a:ea typeface="+mn-ea"/>
              <a:cs typeface="+mn-cs"/>
            </a:rPr>
            <a:t/>
          </a:r>
          <a:br>
            <a:rPr lang="en-US" sz="1000">
              <a:solidFill>
                <a:schemeClr val="dk1"/>
              </a:solidFill>
              <a:effectLst/>
              <a:latin typeface="HPFutura Medium" pitchFamily="50" charset="0"/>
              <a:ea typeface="+mn-ea"/>
              <a:cs typeface="+mn-cs"/>
            </a:rPr>
          </a:br>
          <a:endParaRPr lang="en-US" sz="1000">
            <a:latin typeface="HPFutura Medium"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116632</xdr:colOff>
      <xdr:row>86</xdr:row>
      <xdr:rowOff>116633</xdr:rowOff>
    </xdr:from>
    <xdr:to>
      <xdr:col>0</xdr:col>
      <xdr:colOff>451941</xdr:colOff>
      <xdr:row>88</xdr:row>
      <xdr:rowOff>163009</xdr:rowOff>
    </xdr:to>
    <xdr:pic>
      <xdr:nvPicPr>
        <xdr:cNvPr id="2" name="Picture 1"/>
        <xdr:cNvPicPr>
          <a:picLocks noChangeAspect="1"/>
        </xdr:cNvPicPr>
      </xdr:nvPicPr>
      <xdr:blipFill>
        <a:blip xmlns:r="http://schemas.openxmlformats.org/officeDocument/2006/relationships" r:embed="rId1"/>
        <a:stretch>
          <a:fillRect/>
        </a:stretch>
      </xdr:blipFill>
      <xdr:spPr>
        <a:xfrm>
          <a:off x="116632" y="12080033"/>
          <a:ext cx="335309" cy="386361"/>
        </a:xfrm>
        <a:prstGeom prst="rect">
          <a:avLst/>
        </a:prstGeom>
      </xdr:spPr>
    </xdr:pic>
    <xdr:clientData/>
  </xdr:twoCellAnchor>
  <xdr:twoCellAnchor editAs="oneCell">
    <xdr:from>
      <xdr:col>0</xdr:col>
      <xdr:colOff>126352</xdr:colOff>
      <xdr:row>28</xdr:row>
      <xdr:rowOff>1438470</xdr:rowOff>
    </xdr:from>
    <xdr:to>
      <xdr:col>0</xdr:col>
      <xdr:colOff>461661</xdr:colOff>
      <xdr:row>31</xdr:row>
      <xdr:rowOff>43266</xdr:rowOff>
    </xdr:to>
    <xdr:pic>
      <xdr:nvPicPr>
        <xdr:cNvPr id="3" name="Picture 2"/>
        <xdr:cNvPicPr>
          <a:picLocks noChangeAspect="1"/>
        </xdr:cNvPicPr>
      </xdr:nvPicPr>
      <xdr:blipFill>
        <a:blip xmlns:r="http://schemas.openxmlformats.org/officeDocument/2006/relationships" r:embed="rId1"/>
        <a:stretch>
          <a:fillRect/>
        </a:stretch>
      </xdr:blipFill>
      <xdr:spPr>
        <a:xfrm>
          <a:off x="126352" y="2105220"/>
          <a:ext cx="335309" cy="389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116632</xdr:colOff>
      <xdr:row>86</xdr:row>
      <xdr:rowOff>116633</xdr:rowOff>
    </xdr:from>
    <xdr:to>
      <xdr:col>0</xdr:col>
      <xdr:colOff>451941</xdr:colOff>
      <xdr:row>88</xdr:row>
      <xdr:rowOff>163009</xdr:rowOff>
    </xdr:to>
    <xdr:pic>
      <xdr:nvPicPr>
        <xdr:cNvPr id="2" name="Picture 1"/>
        <xdr:cNvPicPr>
          <a:picLocks noChangeAspect="1"/>
        </xdr:cNvPicPr>
      </xdr:nvPicPr>
      <xdr:blipFill>
        <a:blip xmlns:r="http://schemas.openxmlformats.org/officeDocument/2006/relationships" r:embed="rId1"/>
        <a:stretch>
          <a:fillRect/>
        </a:stretch>
      </xdr:blipFill>
      <xdr:spPr>
        <a:xfrm>
          <a:off x="116632" y="16175783"/>
          <a:ext cx="335309" cy="389276"/>
        </a:xfrm>
        <a:prstGeom prst="rect">
          <a:avLst/>
        </a:prstGeom>
      </xdr:spPr>
    </xdr:pic>
    <xdr:clientData/>
  </xdr:twoCellAnchor>
  <xdr:twoCellAnchor editAs="oneCell">
    <xdr:from>
      <xdr:col>0</xdr:col>
      <xdr:colOff>126352</xdr:colOff>
      <xdr:row>28</xdr:row>
      <xdr:rowOff>1438470</xdr:rowOff>
    </xdr:from>
    <xdr:to>
      <xdr:col>0</xdr:col>
      <xdr:colOff>461661</xdr:colOff>
      <xdr:row>31</xdr:row>
      <xdr:rowOff>43266</xdr:rowOff>
    </xdr:to>
    <xdr:pic>
      <xdr:nvPicPr>
        <xdr:cNvPr id="3" name="Picture 2"/>
        <xdr:cNvPicPr>
          <a:picLocks noChangeAspect="1"/>
        </xdr:cNvPicPr>
      </xdr:nvPicPr>
      <xdr:blipFill>
        <a:blip xmlns:r="http://schemas.openxmlformats.org/officeDocument/2006/relationships" r:embed="rId1"/>
        <a:stretch>
          <a:fillRect/>
        </a:stretch>
      </xdr:blipFill>
      <xdr:spPr>
        <a:xfrm>
          <a:off x="126352" y="5200845"/>
          <a:ext cx="335309" cy="3859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h20195.www2.hp.com/v2/GetPDF.aspx/4AA4-2568ENW.pdf"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hp.com/go/storeserv7000" TargetMode="External"/><Relationship Id="rId1" Type="http://schemas.openxmlformats.org/officeDocument/2006/relationships/hyperlink" Target="http://hp.com/go/storeserv7000"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K19"/>
  <sheetViews>
    <sheetView showGridLines="0" showRowColHeaders="0" zoomScaleNormal="100" workbookViewId="0">
      <selection activeCell="B2" sqref="B2:C2"/>
    </sheetView>
  </sheetViews>
  <sheetFormatPr defaultRowHeight="15" x14ac:dyDescent="0.25"/>
  <cols>
    <col min="5" max="5" width="7.5703125" customWidth="1"/>
    <col min="6" max="6" width="6.85546875" customWidth="1"/>
    <col min="7" max="7" width="5.7109375" customWidth="1"/>
    <col min="10" max="10" width="7.85546875" customWidth="1"/>
    <col min="11" max="11" width="20.85546875" customWidth="1"/>
  </cols>
  <sheetData>
    <row r="1" spans="2:11" ht="39.75" customHeight="1" x14ac:dyDescent="0.25">
      <c r="B1" s="116" t="str">
        <f>calc!H6</f>
        <v>Red</v>
      </c>
    </row>
    <row r="2" spans="2:11" ht="24.75" customHeight="1" x14ac:dyDescent="0.25">
      <c r="B2" s="125" t="s">
        <v>178</v>
      </c>
      <c r="C2" s="126"/>
      <c r="D2" s="42"/>
    </row>
    <row r="3" spans="2:11" x14ac:dyDescent="0.25">
      <c r="B3" s="130" t="s">
        <v>96</v>
      </c>
      <c r="C3" s="131"/>
      <c r="D3" s="131"/>
      <c r="E3" s="131"/>
      <c r="F3" s="131"/>
      <c r="G3" s="131"/>
      <c r="H3" s="131"/>
      <c r="I3" s="131"/>
      <c r="J3" s="131"/>
      <c r="K3" s="131"/>
    </row>
    <row r="4" spans="2:11" ht="16.5" x14ac:dyDescent="0.3">
      <c r="B4" s="132" t="s">
        <v>115</v>
      </c>
      <c r="C4" s="132"/>
      <c r="D4" s="132"/>
      <c r="E4" s="132"/>
      <c r="F4" s="132"/>
      <c r="G4" s="132"/>
      <c r="H4" s="132"/>
      <c r="I4" s="132"/>
      <c r="J4" s="133"/>
      <c r="K4" s="133"/>
    </row>
    <row r="5" spans="2:11" ht="18" customHeight="1" x14ac:dyDescent="0.25">
      <c r="B5" s="128" t="s">
        <v>0</v>
      </c>
      <c r="C5" s="129"/>
      <c r="D5" s="129"/>
      <c r="E5" s="129"/>
      <c r="F5" s="129"/>
      <c r="G5" s="129"/>
    </row>
    <row r="6" spans="2:11" ht="18" customHeight="1" x14ac:dyDescent="0.25">
      <c r="B6" s="136" t="s">
        <v>84</v>
      </c>
      <c r="C6" s="136"/>
      <c r="D6" s="136"/>
      <c r="E6" s="136"/>
      <c r="F6" s="136"/>
      <c r="G6" s="136"/>
      <c r="H6" s="136"/>
      <c r="I6" s="136"/>
      <c r="J6" s="136"/>
      <c r="K6" s="136"/>
    </row>
    <row r="7" spans="2:11" ht="231" customHeight="1" x14ac:dyDescent="0.25">
      <c r="B7" s="136" t="s">
        <v>128</v>
      </c>
      <c r="C7" s="136"/>
      <c r="D7" s="136"/>
      <c r="E7" s="136"/>
      <c r="F7" s="136"/>
      <c r="G7" s="136"/>
      <c r="H7" s="136"/>
      <c r="I7" s="136"/>
      <c r="J7" s="136"/>
      <c r="K7" s="136"/>
    </row>
    <row r="9" spans="2:11" ht="48.75" customHeight="1" x14ac:dyDescent="0.25">
      <c r="B9" s="136" t="s">
        <v>110</v>
      </c>
      <c r="C9" s="137"/>
      <c r="D9" s="137"/>
      <c r="E9" s="137"/>
      <c r="F9" s="137"/>
      <c r="G9" s="137"/>
      <c r="H9" s="137"/>
      <c r="I9" s="137"/>
      <c r="J9" s="137"/>
      <c r="K9" s="137"/>
    </row>
    <row r="10" spans="2:11" ht="15" customHeight="1" x14ac:dyDescent="0.25">
      <c r="B10" s="135" t="s">
        <v>116</v>
      </c>
      <c r="C10" s="135"/>
      <c r="D10" s="135"/>
      <c r="E10" s="135"/>
      <c r="F10" s="135"/>
      <c r="G10" s="135"/>
      <c r="H10" s="135"/>
      <c r="I10" s="135"/>
      <c r="J10" s="135"/>
      <c r="K10" s="135"/>
    </row>
    <row r="11" spans="2:11" ht="33.75" customHeight="1" x14ac:dyDescent="0.25">
      <c r="B11" s="134" t="s">
        <v>152</v>
      </c>
      <c r="C11" s="134"/>
      <c r="D11" s="134"/>
      <c r="E11" s="134"/>
      <c r="F11" s="134"/>
      <c r="G11" s="134"/>
      <c r="H11" s="134"/>
      <c r="I11" s="134"/>
      <c r="J11" s="134"/>
      <c r="K11" s="134"/>
    </row>
    <row r="13" spans="2:11" ht="13.5" customHeight="1" x14ac:dyDescent="0.25"/>
    <row r="14" spans="2:11" x14ac:dyDescent="0.25">
      <c r="B14" s="127" t="s">
        <v>132</v>
      </c>
      <c r="C14" s="127"/>
      <c r="D14" s="127"/>
      <c r="E14" s="127"/>
      <c r="F14" s="127"/>
      <c r="G14" s="127"/>
      <c r="H14" s="127"/>
      <c r="I14" s="127"/>
      <c r="J14" s="127"/>
      <c r="K14" s="127"/>
    </row>
    <row r="15" spans="2:11" ht="13.5" customHeight="1" x14ac:dyDescent="0.25">
      <c r="B15" s="127"/>
      <c r="C15" s="127"/>
      <c r="D15" s="127"/>
      <c r="E15" s="127"/>
      <c r="F15" s="127"/>
      <c r="G15" s="127"/>
      <c r="H15" s="127"/>
      <c r="I15" s="127"/>
      <c r="J15" s="127"/>
      <c r="K15" s="127"/>
    </row>
    <row r="19" spans="1:1" x14ac:dyDescent="0.25">
      <c r="A19" s="44"/>
    </row>
  </sheetData>
  <sheetProtection password="8121" sheet="1" objects="1" scenarios="1" selectLockedCells="1"/>
  <mergeCells count="10">
    <mergeCell ref="B2:C2"/>
    <mergeCell ref="B14:K15"/>
    <mergeCell ref="B5:G5"/>
    <mergeCell ref="B3:K3"/>
    <mergeCell ref="B4:K4"/>
    <mergeCell ref="B11:K11"/>
    <mergeCell ref="B10:K10"/>
    <mergeCell ref="B9:K9"/>
    <mergeCell ref="B6:K6"/>
    <mergeCell ref="B7:K7"/>
  </mergeCells>
  <conditionalFormatting sqref="B14:K15">
    <cfRule type="expression" dxfId="173" priority="1">
      <formula>$B$1="Green"</formula>
    </cfRule>
  </conditionalFormatting>
  <dataValidations count="1">
    <dataValidation type="list" allowBlank="1" showInputMessage="1" showErrorMessage="1" sqref="B2:C2">
      <formula1>"Customer,Partner customer,PM,Partner"</formula1>
    </dataValidation>
  </dataValidations>
  <hyperlinks>
    <hyperlink ref="B10:K10" r:id="rId1" display="HP 3PAR StoreServ 7000 Storage Installation and Startup Service"/>
  </hyperlinks>
  <pageMargins left="0.7" right="0.7" top="0.75" bottom="0.75" header="0.3" footer="0.3"/>
  <pageSetup orientation="portrait" r:id="rId2"/>
  <headerFooter>
    <oddFooter>&amp;F&amp;RPage &amp;P</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pageSetUpPr fitToPage="1"/>
  </sheetPr>
  <dimension ref="A1:K90"/>
  <sheetViews>
    <sheetView showGridLines="0" showRowColHeaders="0" tabSelected="1" showRuler="0" zoomScale="110" zoomScaleNormal="110" workbookViewId="0">
      <selection activeCell="E9" sqref="E9"/>
    </sheetView>
  </sheetViews>
  <sheetFormatPr defaultRowHeight="13.5" x14ac:dyDescent="0.2"/>
  <cols>
    <col min="1" max="1" width="7.28515625" style="1" customWidth="1"/>
    <col min="2" max="2" width="0.85546875" style="2" customWidth="1"/>
    <col min="3" max="3" width="60.42578125" style="20" customWidth="1"/>
    <col min="4" max="4" width="0.5703125" style="2" customWidth="1"/>
    <col min="5" max="5" width="32.7109375" style="24" customWidth="1"/>
    <col min="6" max="6" width="1.28515625" style="2" customWidth="1"/>
    <col min="7" max="7" width="3.28515625" style="2" customWidth="1"/>
    <col min="8" max="8" width="13.7109375" style="2" customWidth="1"/>
    <col min="9" max="9" width="1.28515625" style="2" customWidth="1"/>
    <col min="10" max="10" width="18.85546875" style="2" customWidth="1"/>
    <col min="11" max="16384" width="9.140625" style="2"/>
  </cols>
  <sheetData>
    <row r="1" spans="3:11" x14ac:dyDescent="0.2">
      <c r="C1" s="43" t="str">
        <f>calc!H6</f>
        <v>Red</v>
      </c>
    </row>
    <row r="2" spans="3:11" ht="15" customHeight="1" x14ac:dyDescent="0.25">
      <c r="C2" s="130" t="s">
        <v>96</v>
      </c>
      <c r="D2" s="131"/>
      <c r="E2" s="131"/>
      <c r="F2" s="72"/>
      <c r="G2" s="118">
        <f>IF(F2="",20,20)</f>
        <v>20</v>
      </c>
      <c r="H2" s="146" t="s">
        <v>163</v>
      </c>
      <c r="I2" s="147"/>
      <c r="J2" s="147"/>
    </row>
    <row r="3" spans="3:11" ht="15.75" x14ac:dyDescent="0.2">
      <c r="C3" s="145" t="s">
        <v>114</v>
      </c>
      <c r="D3" s="134"/>
      <c r="E3" s="134"/>
      <c r="G3" s="118">
        <f>IF(F3="",9,20)</f>
        <v>9</v>
      </c>
      <c r="H3" s="146" t="s">
        <v>164</v>
      </c>
      <c r="I3" s="147"/>
      <c r="J3" s="147"/>
    </row>
    <row r="4" spans="3:11" ht="15.75" x14ac:dyDescent="0.2">
      <c r="C4" s="46"/>
      <c r="D4" s="11"/>
      <c r="E4" s="28"/>
      <c r="G4" s="118">
        <f>IF(F4="",10,20)</f>
        <v>10</v>
      </c>
      <c r="H4" s="146" t="s">
        <v>165</v>
      </c>
      <c r="I4" s="147"/>
      <c r="J4" s="147"/>
    </row>
    <row r="5" spans="3:11" ht="15" x14ac:dyDescent="0.2">
      <c r="C5" s="46"/>
      <c r="D5" s="9"/>
      <c r="E5" s="28"/>
    </row>
    <row r="6" spans="3:11" ht="15" x14ac:dyDescent="0.25">
      <c r="C6" s="46"/>
      <c r="D6" s="7"/>
      <c r="E6" s="10" t="str">
        <f>IF(C1="Green","ALL FIELDS ARE COMPLETED","ALL RED FIELDS ARE MANDATORY")</f>
        <v>ALL RED FIELDS ARE MANDATORY</v>
      </c>
      <c r="H6" s="139"/>
      <c r="I6" s="140"/>
      <c r="J6" s="141"/>
    </row>
    <row r="7" spans="3:11" ht="14.25" x14ac:dyDescent="0.2">
      <c r="C7" s="73" t="s">
        <v>86</v>
      </c>
      <c r="D7" s="7"/>
      <c r="H7" s="142"/>
      <c r="I7" s="143"/>
      <c r="J7" s="143"/>
      <c r="K7" s="143"/>
    </row>
    <row r="8" spans="3:11" ht="15" x14ac:dyDescent="0.2">
      <c r="C8" s="46"/>
      <c r="D8" s="7"/>
      <c r="E8" s="28"/>
      <c r="H8" s="144"/>
      <c r="I8" s="144"/>
      <c r="J8" s="144"/>
      <c r="K8" s="144"/>
    </row>
    <row r="9" spans="3:11" x14ac:dyDescent="0.2">
      <c r="C9" s="17" t="s">
        <v>99</v>
      </c>
      <c r="E9" s="74"/>
      <c r="G9" s="2">
        <f>IF(E9="",10,20)</f>
        <v>10</v>
      </c>
      <c r="H9" s="144"/>
      <c r="I9" s="144"/>
      <c r="J9" s="144"/>
      <c r="K9" s="144"/>
    </row>
    <row r="10" spans="3:11" x14ac:dyDescent="0.2">
      <c r="C10" s="17" t="s">
        <v>100</v>
      </c>
      <c r="E10" s="75"/>
      <c r="G10" s="2">
        <f>IF(E10="",10,20)</f>
        <v>10</v>
      </c>
      <c r="H10" s="144"/>
      <c r="I10" s="144"/>
      <c r="J10" s="144"/>
      <c r="K10" s="144"/>
    </row>
    <row r="11" spans="3:11" ht="14.25" x14ac:dyDescent="0.2">
      <c r="C11" s="38" t="s">
        <v>153</v>
      </c>
      <c r="D11" s="12"/>
      <c r="E11" s="74"/>
      <c r="G11" s="2">
        <f>IF(E11="",10,20)</f>
        <v>10</v>
      </c>
      <c r="H11" s="144"/>
      <c r="I11" s="144"/>
      <c r="J11" s="144"/>
      <c r="K11" s="144"/>
    </row>
    <row r="12" spans="3:11" ht="30" x14ac:dyDescent="0.2">
      <c r="C12" s="124" t="s">
        <v>156</v>
      </c>
      <c r="E12" s="74"/>
      <c r="G12" s="102">
        <f t="shared" ref="G12:G30" si="0">IF(E12="",10,20)</f>
        <v>10</v>
      </c>
      <c r="H12" s="144"/>
      <c r="I12" s="144"/>
      <c r="J12" s="144"/>
      <c r="K12" s="144"/>
    </row>
    <row r="13" spans="3:11" x14ac:dyDescent="0.2">
      <c r="C13" s="17" t="s">
        <v>97</v>
      </c>
      <c r="E13" s="75"/>
      <c r="G13" s="2">
        <f t="shared" si="0"/>
        <v>10</v>
      </c>
      <c r="H13" s="144"/>
      <c r="I13" s="144"/>
      <c r="J13" s="144"/>
      <c r="K13" s="144"/>
    </row>
    <row r="14" spans="3:11" x14ac:dyDescent="0.2">
      <c r="C14" s="17" t="s">
        <v>157</v>
      </c>
      <c r="E14" s="74"/>
      <c r="G14" s="2">
        <f t="shared" si="0"/>
        <v>10</v>
      </c>
      <c r="H14" s="144"/>
      <c r="I14" s="144"/>
      <c r="J14" s="144"/>
      <c r="K14" s="144"/>
    </row>
    <row r="15" spans="3:11" x14ac:dyDescent="0.2">
      <c r="C15" s="17" t="s">
        <v>158</v>
      </c>
      <c r="E15" s="74"/>
      <c r="G15" s="2">
        <f t="shared" si="0"/>
        <v>10</v>
      </c>
      <c r="H15" s="144"/>
      <c r="I15" s="144"/>
      <c r="J15" s="144"/>
      <c r="K15" s="144"/>
    </row>
    <row r="16" spans="3:11" x14ac:dyDescent="0.2">
      <c r="C16" s="17" t="s">
        <v>159</v>
      </c>
      <c r="E16" s="74"/>
      <c r="G16" s="2">
        <f t="shared" si="0"/>
        <v>10</v>
      </c>
      <c r="H16" s="144"/>
      <c r="I16" s="144"/>
      <c r="J16" s="144"/>
      <c r="K16" s="144"/>
    </row>
    <row r="17" spans="1:7" x14ac:dyDescent="0.2">
      <c r="E17" s="74"/>
      <c r="G17" s="2">
        <f>IF(E17="",11,20)</f>
        <v>11</v>
      </c>
    </row>
    <row r="18" spans="1:7" x14ac:dyDescent="0.2">
      <c r="C18" s="17" t="s">
        <v>160</v>
      </c>
      <c r="E18" s="74"/>
      <c r="G18" s="2">
        <f t="shared" si="0"/>
        <v>10</v>
      </c>
    </row>
    <row r="19" spans="1:7" ht="14.25" x14ac:dyDescent="0.2">
      <c r="C19" s="17" t="s">
        <v>161</v>
      </c>
      <c r="D19" s="7"/>
      <c r="E19" s="74"/>
      <c r="G19" s="2">
        <f t="shared" si="0"/>
        <v>10</v>
      </c>
    </row>
    <row r="20" spans="1:7" ht="14.25" x14ac:dyDescent="0.2">
      <c r="C20" s="46"/>
      <c r="D20" s="12"/>
      <c r="E20" s="29"/>
    </row>
    <row r="21" spans="1:7" ht="14.25" x14ac:dyDescent="0.2">
      <c r="C21" s="38" t="s">
        <v>147</v>
      </c>
      <c r="D21" s="8"/>
      <c r="E21" s="74"/>
      <c r="G21" s="2">
        <f t="shared" si="0"/>
        <v>10</v>
      </c>
    </row>
    <row r="22" spans="1:7" x14ac:dyDescent="0.2">
      <c r="C22" s="17" t="str">
        <f>IF(E21="Partner Order","HP Sales order number:","HP Sales order number")</f>
        <v>HP Sales order number</v>
      </c>
      <c r="E22" s="75"/>
      <c r="G22" s="2">
        <f t="shared" si="0"/>
        <v>10</v>
      </c>
    </row>
    <row r="23" spans="1:7" x14ac:dyDescent="0.2">
      <c r="A23" s="113"/>
      <c r="C23" s="17" t="s">
        <v>162</v>
      </c>
      <c r="E23" s="74"/>
      <c r="G23" s="2">
        <f t="shared" si="0"/>
        <v>10</v>
      </c>
    </row>
    <row r="24" spans="1:7" x14ac:dyDescent="0.2">
      <c r="A24" s="92"/>
      <c r="C24" s="17" t="s">
        <v>177</v>
      </c>
      <c r="E24" s="94"/>
      <c r="G24" s="2">
        <f>IF(E24="",11,20)</f>
        <v>11</v>
      </c>
    </row>
    <row r="25" spans="1:7" x14ac:dyDescent="0.2">
      <c r="A25" s="113"/>
      <c r="C25" s="17" t="s">
        <v>145</v>
      </c>
      <c r="E25" s="94"/>
      <c r="G25" s="2">
        <f>IF(E25="",11,20)</f>
        <v>11</v>
      </c>
    </row>
    <row r="26" spans="1:7" ht="25.5" x14ac:dyDescent="0.2">
      <c r="C26" s="17" t="s">
        <v>111</v>
      </c>
      <c r="E26" s="76"/>
      <c r="G26" s="117">
        <f t="shared" si="0"/>
        <v>10</v>
      </c>
    </row>
    <row r="27" spans="1:7" x14ac:dyDescent="0.2">
      <c r="C27" s="17" t="s">
        <v>155</v>
      </c>
      <c r="E27" s="74"/>
      <c r="G27" s="2">
        <f t="shared" si="0"/>
        <v>10</v>
      </c>
    </row>
    <row r="28" spans="1:7" x14ac:dyDescent="0.2">
      <c r="C28" s="17" t="s">
        <v>118</v>
      </c>
      <c r="E28" s="74"/>
      <c r="G28" s="2">
        <f t="shared" si="0"/>
        <v>10</v>
      </c>
    </row>
    <row r="29" spans="1:7" x14ac:dyDescent="0.2">
      <c r="C29" s="17" t="s">
        <v>149</v>
      </c>
      <c r="E29" s="74"/>
      <c r="G29" s="2">
        <f t="shared" si="0"/>
        <v>10</v>
      </c>
    </row>
    <row r="30" spans="1:7" x14ac:dyDescent="0.2">
      <c r="C30" s="17" t="s">
        <v>148</v>
      </c>
      <c r="E30" s="74"/>
      <c r="G30" s="2">
        <f t="shared" si="0"/>
        <v>10</v>
      </c>
    </row>
    <row r="31" spans="1:7" x14ac:dyDescent="0.2">
      <c r="C31" s="21"/>
      <c r="E31" s="29"/>
    </row>
    <row r="32" spans="1:7" ht="14.25" x14ac:dyDescent="0.2">
      <c r="C32" s="47" t="s">
        <v>129</v>
      </c>
    </row>
    <row r="33" spans="1:10" ht="14.25" thickBot="1" x14ac:dyDescent="0.25">
      <c r="C33" s="19"/>
    </row>
    <row r="34" spans="1:10" ht="14.25" hidden="1" thickBot="1" x14ac:dyDescent="0.25">
      <c r="C34" s="17" t="s">
        <v>154</v>
      </c>
      <c r="E34" s="41"/>
      <c r="G34" s="2">
        <f t="shared" ref="G34:G38" si="1">IF(E34="",10,20)</f>
        <v>10</v>
      </c>
    </row>
    <row r="35" spans="1:10" ht="14.25" thickBot="1" x14ac:dyDescent="0.25">
      <c r="C35" s="71" t="s">
        <v>78</v>
      </c>
      <c r="E35" s="41"/>
      <c r="G35" s="2">
        <f t="shared" si="1"/>
        <v>10</v>
      </c>
      <c r="H35" s="39" t="s">
        <v>94</v>
      </c>
      <c r="J35" s="40"/>
    </row>
    <row r="36" spans="1:10" ht="14.25" thickBot="1" x14ac:dyDescent="0.25">
      <c r="C36" s="17" t="s">
        <v>95</v>
      </c>
      <c r="E36" s="41"/>
      <c r="G36" s="2">
        <f t="shared" si="1"/>
        <v>10</v>
      </c>
    </row>
    <row r="37" spans="1:10" ht="14.25" thickBot="1" x14ac:dyDescent="0.25">
      <c r="C37" s="17" t="s">
        <v>77</v>
      </c>
      <c r="E37" s="41"/>
      <c r="G37" s="2">
        <f t="shared" si="1"/>
        <v>10</v>
      </c>
      <c r="H37" s="39" t="s">
        <v>94</v>
      </c>
      <c r="J37" s="40"/>
    </row>
    <row r="38" spans="1:10" x14ac:dyDescent="0.2">
      <c r="C38" s="17" t="s">
        <v>98</v>
      </c>
      <c r="E38" s="41"/>
      <c r="G38" s="2">
        <f t="shared" si="1"/>
        <v>10</v>
      </c>
    </row>
    <row r="39" spans="1:10" x14ac:dyDescent="0.2">
      <c r="C39" s="45"/>
      <c r="E39" s="29"/>
    </row>
    <row r="40" spans="1:10" ht="14.25" x14ac:dyDescent="0.2">
      <c r="C40" s="47" t="s">
        <v>87</v>
      </c>
      <c r="D40" s="6"/>
      <c r="E40" s="25"/>
    </row>
    <row r="41" spans="1:10" x14ac:dyDescent="0.2">
      <c r="A41" s="1" t="s">
        <v>0</v>
      </c>
      <c r="C41" s="45"/>
      <c r="D41" s="6"/>
      <c r="E41" s="25"/>
    </row>
    <row r="42" spans="1:10" x14ac:dyDescent="0.2">
      <c r="C42" s="17" t="s">
        <v>63</v>
      </c>
      <c r="E42" s="41"/>
      <c r="G42" s="2">
        <f t="shared" ref="G42:G51" si="2">IF(E42="",10,20)</f>
        <v>10</v>
      </c>
      <c r="H42" s="66"/>
    </row>
    <row r="43" spans="1:10" ht="14.25" hidden="1" thickBot="1" x14ac:dyDescent="0.25">
      <c r="C43" s="17" t="s">
        <v>146</v>
      </c>
      <c r="E43" s="41"/>
      <c r="G43" s="2">
        <f t="shared" si="2"/>
        <v>10</v>
      </c>
      <c r="H43" s="39" t="s">
        <v>94</v>
      </c>
      <c r="J43" s="40"/>
    </row>
    <row r="44" spans="1:10" x14ac:dyDescent="0.2">
      <c r="C44" s="17" t="s">
        <v>62</v>
      </c>
      <c r="E44" s="41"/>
      <c r="G44" s="2">
        <f t="shared" si="2"/>
        <v>10</v>
      </c>
    </row>
    <row r="45" spans="1:10" x14ac:dyDescent="0.2">
      <c r="C45" s="17" t="s">
        <v>88</v>
      </c>
      <c r="E45" s="41"/>
      <c r="G45" s="2">
        <f t="shared" si="2"/>
        <v>10</v>
      </c>
    </row>
    <row r="46" spans="1:10" x14ac:dyDescent="0.2">
      <c r="C46" s="17" t="s">
        <v>89</v>
      </c>
      <c r="E46" s="41"/>
      <c r="G46" s="2">
        <f t="shared" si="2"/>
        <v>10</v>
      </c>
    </row>
    <row r="47" spans="1:10" x14ac:dyDescent="0.2">
      <c r="C47" s="17" t="s">
        <v>36</v>
      </c>
      <c r="E47" s="41"/>
      <c r="G47" s="2">
        <f t="shared" si="2"/>
        <v>10</v>
      </c>
    </row>
    <row r="48" spans="1:10" x14ac:dyDescent="0.2">
      <c r="C48" s="17" t="s">
        <v>37</v>
      </c>
      <c r="E48" s="41"/>
      <c r="G48" s="2">
        <f t="shared" si="2"/>
        <v>10</v>
      </c>
    </row>
    <row r="49" spans="1:11" x14ac:dyDescent="0.2">
      <c r="C49" s="17" t="s">
        <v>34</v>
      </c>
      <c r="E49" s="41"/>
      <c r="G49" s="2">
        <f t="shared" si="2"/>
        <v>10</v>
      </c>
    </row>
    <row r="50" spans="1:11" ht="25.5" x14ac:dyDescent="0.2">
      <c r="C50" s="17" t="s">
        <v>175</v>
      </c>
      <c r="E50" s="84"/>
      <c r="G50" s="117">
        <f t="shared" si="2"/>
        <v>10</v>
      </c>
    </row>
    <row r="51" spans="1:11" ht="25.5" x14ac:dyDescent="0.2">
      <c r="C51" s="17" t="s">
        <v>134</v>
      </c>
      <c r="E51" s="41"/>
      <c r="G51" s="102">
        <f t="shared" si="2"/>
        <v>10</v>
      </c>
    </row>
    <row r="53" spans="1:11" ht="13.5" customHeight="1" x14ac:dyDescent="0.2">
      <c r="C53" s="48" t="s">
        <v>90</v>
      </c>
    </row>
    <row r="55" spans="1:11" x14ac:dyDescent="0.2">
      <c r="C55" s="17" t="s">
        <v>55</v>
      </c>
      <c r="E55" s="41"/>
      <c r="G55" s="2">
        <f t="shared" ref="G55:G58" si="3">IF(E55="",10,20)</f>
        <v>10</v>
      </c>
    </row>
    <row r="56" spans="1:11" x14ac:dyDescent="0.2">
      <c r="C56" s="17" t="s">
        <v>31</v>
      </c>
      <c r="E56" s="41"/>
      <c r="G56" s="2">
        <f t="shared" si="3"/>
        <v>10</v>
      </c>
    </row>
    <row r="57" spans="1:11" x14ac:dyDescent="0.2">
      <c r="C57" s="17" t="s">
        <v>88</v>
      </c>
      <c r="E57" s="41"/>
      <c r="G57" s="2">
        <f t="shared" si="3"/>
        <v>10</v>
      </c>
    </row>
    <row r="58" spans="1:11" x14ac:dyDescent="0.2">
      <c r="C58" s="17" t="s">
        <v>89</v>
      </c>
      <c r="E58" s="41"/>
      <c r="G58" s="2">
        <f t="shared" si="3"/>
        <v>10</v>
      </c>
    </row>
    <row r="59" spans="1:11" x14ac:dyDescent="0.2">
      <c r="C59" s="45"/>
      <c r="E59" s="29"/>
    </row>
    <row r="60" spans="1:11" ht="14.25" x14ac:dyDescent="0.2">
      <c r="C60" s="48" t="s">
        <v>91</v>
      </c>
    </row>
    <row r="61" spans="1:11" x14ac:dyDescent="0.2">
      <c r="A61" s="1" t="s">
        <v>0</v>
      </c>
    </row>
    <row r="62" spans="1:11" x14ac:dyDescent="0.2">
      <c r="C62" s="71" t="s">
        <v>122</v>
      </c>
      <c r="E62" s="41"/>
      <c r="G62" s="2">
        <f t="shared" ref="G62:G73" si="4">IF(E62="",10,20)</f>
        <v>10</v>
      </c>
      <c r="I62" s="52"/>
      <c r="J62" s="52"/>
      <c r="K62" s="52"/>
    </row>
    <row r="63" spans="1:11" ht="25.5" x14ac:dyDescent="0.2">
      <c r="A63" s="86"/>
      <c r="C63" s="71" t="s">
        <v>123</v>
      </c>
      <c r="E63" s="87"/>
      <c r="G63" s="117">
        <f t="shared" si="4"/>
        <v>10</v>
      </c>
      <c r="I63" s="85"/>
      <c r="J63" s="85"/>
      <c r="K63" s="85"/>
    </row>
    <row r="64" spans="1:11" x14ac:dyDescent="0.2">
      <c r="C64" s="17" t="s">
        <v>131</v>
      </c>
      <c r="E64" s="41"/>
      <c r="G64" s="2">
        <f t="shared" si="4"/>
        <v>10</v>
      </c>
    </row>
    <row r="65" spans="1:7" x14ac:dyDescent="0.2">
      <c r="A65" s="96"/>
      <c r="C65" s="17" t="s">
        <v>136</v>
      </c>
      <c r="E65" s="41"/>
      <c r="G65" s="2">
        <f t="shared" si="4"/>
        <v>10</v>
      </c>
    </row>
    <row r="66" spans="1:7" x14ac:dyDescent="0.2">
      <c r="A66" s="96"/>
      <c r="C66" s="17" t="s">
        <v>137</v>
      </c>
      <c r="E66" s="41"/>
      <c r="G66" s="2">
        <f t="shared" si="4"/>
        <v>10</v>
      </c>
    </row>
    <row r="67" spans="1:7" x14ac:dyDescent="0.2">
      <c r="C67" s="71" t="s">
        <v>124</v>
      </c>
      <c r="E67" s="41"/>
      <c r="G67" s="2">
        <f t="shared" si="4"/>
        <v>10</v>
      </c>
    </row>
    <row r="68" spans="1:7" x14ac:dyDescent="0.2">
      <c r="C68" s="17" t="s">
        <v>40</v>
      </c>
      <c r="E68" s="41"/>
      <c r="G68" s="2">
        <f t="shared" si="4"/>
        <v>10</v>
      </c>
    </row>
    <row r="69" spans="1:7" x14ac:dyDescent="0.2">
      <c r="C69" s="17" t="s">
        <v>41</v>
      </c>
      <c r="E69" s="41"/>
      <c r="G69" s="2">
        <f t="shared" si="4"/>
        <v>10</v>
      </c>
    </row>
    <row r="70" spans="1:7" x14ac:dyDescent="0.2">
      <c r="C70" s="17" t="s">
        <v>42</v>
      </c>
      <c r="E70" s="41"/>
      <c r="G70" s="2">
        <f t="shared" si="4"/>
        <v>10</v>
      </c>
    </row>
    <row r="71" spans="1:7" ht="13.5" customHeight="1" x14ac:dyDescent="0.2">
      <c r="C71" s="71" t="s">
        <v>43</v>
      </c>
      <c r="E71" s="41"/>
      <c r="G71" s="2">
        <f t="shared" si="4"/>
        <v>10</v>
      </c>
    </row>
    <row r="72" spans="1:7" ht="13.5" customHeight="1" x14ac:dyDescent="0.2">
      <c r="A72" s="1" t="s">
        <v>0</v>
      </c>
      <c r="C72" s="17" t="s">
        <v>44</v>
      </c>
      <c r="E72" s="41"/>
      <c r="G72" s="2">
        <f t="shared" si="4"/>
        <v>10</v>
      </c>
    </row>
    <row r="73" spans="1:7" ht="13.5" customHeight="1" x14ac:dyDescent="0.2">
      <c r="C73" s="17" t="s">
        <v>45</v>
      </c>
      <c r="E73" s="41"/>
      <c r="G73" s="2">
        <f t="shared" si="4"/>
        <v>10</v>
      </c>
    </row>
    <row r="74" spans="1:7" ht="13.5" customHeight="1" x14ac:dyDescent="0.2">
      <c r="C74" s="77"/>
      <c r="E74" s="36"/>
    </row>
    <row r="75" spans="1:7" x14ac:dyDescent="0.2">
      <c r="A75" s="1" t="s">
        <v>0</v>
      </c>
    </row>
    <row r="76" spans="1:7" x14ac:dyDescent="0.2">
      <c r="C76" s="71" t="s">
        <v>92</v>
      </c>
      <c r="E76" s="41"/>
      <c r="G76" s="2">
        <f t="shared" ref="G76" si="5">IF(E76="",10,20)</f>
        <v>10</v>
      </c>
    </row>
    <row r="77" spans="1:7" hidden="1" x14ac:dyDescent="0.2">
      <c r="C77" s="17" t="s">
        <v>48</v>
      </c>
      <c r="E77" s="26"/>
    </row>
    <row r="78" spans="1:7" hidden="1" x14ac:dyDescent="0.2">
      <c r="C78" s="17" t="s">
        <v>49</v>
      </c>
      <c r="E78" s="41"/>
    </row>
    <row r="80" spans="1:7" ht="15" x14ac:dyDescent="0.2">
      <c r="C80" s="123" t="s">
        <v>109</v>
      </c>
      <c r="E80" s="41"/>
      <c r="G80" s="2">
        <f t="shared" ref="G80" si="6">IF(E80="",10,20)</f>
        <v>10</v>
      </c>
    </row>
    <row r="81" spans="1:5" ht="15.75" customHeight="1" x14ac:dyDescent="0.25">
      <c r="C81" s="22" t="s">
        <v>0</v>
      </c>
      <c r="E81" s="27"/>
    </row>
    <row r="82" spans="1:5" ht="123.75" customHeight="1" x14ac:dyDescent="0.25">
      <c r="C82" s="65" t="s">
        <v>150</v>
      </c>
      <c r="E82" s="27"/>
    </row>
    <row r="83" spans="1:5" x14ac:dyDescent="0.25">
      <c r="C83" s="22"/>
      <c r="E83" s="27"/>
    </row>
    <row r="86" spans="1:5" ht="15.75" customHeight="1" x14ac:dyDescent="0.2"/>
    <row r="87" spans="1:5" x14ac:dyDescent="0.2">
      <c r="C87" s="20" t="s">
        <v>0</v>
      </c>
    </row>
    <row r="88" spans="1:5" x14ac:dyDescent="0.2">
      <c r="A88" s="1" t="s">
        <v>0</v>
      </c>
    </row>
    <row r="89" spans="1:5" ht="12.75" x14ac:dyDescent="0.2">
      <c r="C89" s="138" t="s">
        <v>0</v>
      </c>
      <c r="D89" s="138"/>
      <c r="E89" s="138"/>
    </row>
    <row r="90" spans="1:5" ht="57.75" customHeight="1" x14ac:dyDescent="0.2"/>
  </sheetData>
  <sheetProtection password="8121" sheet="1" objects="1" scenarios="1" formatRows="0" selectLockedCells="1"/>
  <mergeCells count="8">
    <mergeCell ref="C89:E89"/>
    <mergeCell ref="H6:J6"/>
    <mergeCell ref="H7:K16"/>
    <mergeCell ref="C2:E2"/>
    <mergeCell ref="C3:E3"/>
    <mergeCell ref="H2:J2"/>
    <mergeCell ref="H3:J3"/>
    <mergeCell ref="H4:J4"/>
  </mergeCells>
  <conditionalFormatting sqref="C22:C25">
    <cfRule type="expression" dxfId="172" priority="110">
      <formula>IF($E$21="Partner Order","Partner Sales order number(s):","HP Sales order number(s):")</formula>
    </cfRule>
  </conditionalFormatting>
  <conditionalFormatting sqref="E6">
    <cfRule type="expression" dxfId="171" priority="104">
      <formula>$C$1="Green"</formula>
    </cfRule>
  </conditionalFormatting>
  <conditionalFormatting sqref="E9">
    <cfRule type="expression" dxfId="170" priority="87">
      <formula>$E$9=""</formula>
    </cfRule>
  </conditionalFormatting>
  <conditionalFormatting sqref="E10">
    <cfRule type="expression" dxfId="169" priority="86">
      <formula>$E$10=""</formula>
    </cfRule>
  </conditionalFormatting>
  <conditionalFormatting sqref="E12">
    <cfRule type="expression" dxfId="168" priority="85">
      <formula>$E$12=""</formula>
    </cfRule>
  </conditionalFormatting>
  <conditionalFormatting sqref="E13">
    <cfRule type="expression" dxfId="167" priority="84">
      <formula>$E$13=""</formula>
    </cfRule>
  </conditionalFormatting>
  <conditionalFormatting sqref="G9:G30">
    <cfRule type="iconSet" priority="82">
      <iconSet iconSet="3Symbols2">
        <cfvo type="percent" val="0"/>
        <cfvo type="num" val="11"/>
        <cfvo type="num" val="19"/>
      </iconSet>
    </cfRule>
  </conditionalFormatting>
  <conditionalFormatting sqref="E15">
    <cfRule type="expression" dxfId="166" priority="81">
      <formula>$E$15=""</formula>
    </cfRule>
  </conditionalFormatting>
  <conditionalFormatting sqref="E16">
    <cfRule type="expression" dxfId="165" priority="80">
      <formula>$E$16=""</formula>
    </cfRule>
  </conditionalFormatting>
  <conditionalFormatting sqref="E17">
    <cfRule type="expression" dxfId="164" priority="79">
      <formula>$E$17=""</formula>
    </cfRule>
  </conditionalFormatting>
  <conditionalFormatting sqref="E18">
    <cfRule type="expression" dxfId="163" priority="78">
      <formula>$E$18=""</formula>
    </cfRule>
  </conditionalFormatting>
  <conditionalFormatting sqref="E19">
    <cfRule type="expression" dxfId="162" priority="77">
      <formula>$E$19=""</formula>
    </cfRule>
  </conditionalFormatting>
  <conditionalFormatting sqref="E21">
    <cfRule type="expression" dxfId="161" priority="76">
      <formula>$E$21=""</formula>
    </cfRule>
  </conditionalFormatting>
  <conditionalFormatting sqref="E22">
    <cfRule type="expression" dxfId="160" priority="75">
      <formula>$E$22=""</formula>
    </cfRule>
  </conditionalFormatting>
  <conditionalFormatting sqref="E26">
    <cfRule type="expression" dxfId="159" priority="74">
      <formula>$E$26=""</formula>
    </cfRule>
  </conditionalFormatting>
  <conditionalFormatting sqref="E27">
    <cfRule type="expression" dxfId="158" priority="73">
      <formula>$E$27=""</formula>
    </cfRule>
  </conditionalFormatting>
  <conditionalFormatting sqref="E28">
    <cfRule type="expression" dxfId="157" priority="72">
      <formula>$E$28=""</formula>
    </cfRule>
  </conditionalFormatting>
  <conditionalFormatting sqref="E29">
    <cfRule type="expression" dxfId="156" priority="71">
      <formula>$E$29=""</formula>
    </cfRule>
  </conditionalFormatting>
  <conditionalFormatting sqref="E30">
    <cfRule type="expression" dxfId="155" priority="70">
      <formula>$E$30=""</formula>
    </cfRule>
  </conditionalFormatting>
  <conditionalFormatting sqref="G34:G38">
    <cfRule type="iconSet" priority="69">
      <iconSet iconSet="3Symbols2">
        <cfvo type="percent" val="0"/>
        <cfvo type="num" val="11"/>
        <cfvo type="num" val="19"/>
      </iconSet>
    </cfRule>
  </conditionalFormatting>
  <conditionalFormatting sqref="G42:G43">
    <cfRule type="iconSet" priority="68">
      <iconSet iconSet="3Symbols2">
        <cfvo type="percent" val="0"/>
        <cfvo type="num" val="11"/>
        <cfvo type="num" val="19"/>
      </iconSet>
    </cfRule>
  </conditionalFormatting>
  <conditionalFormatting sqref="G44">
    <cfRule type="iconSet" priority="67">
      <iconSet iconSet="3Symbols2">
        <cfvo type="percent" val="0"/>
        <cfvo type="num" val="11"/>
        <cfvo type="num" val="19"/>
      </iconSet>
    </cfRule>
  </conditionalFormatting>
  <conditionalFormatting sqref="G45">
    <cfRule type="iconSet" priority="66">
      <iconSet iconSet="3Symbols2">
        <cfvo type="percent" val="0"/>
        <cfvo type="num" val="11"/>
        <cfvo type="num" val="19"/>
      </iconSet>
    </cfRule>
  </conditionalFormatting>
  <conditionalFormatting sqref="G46">
    <cfRule type="iconSet" priority="65">
      <iconSet iconSet="3Symbols2">
        <cfvo type="percent" val="0"/>
        <cfvo type="num" val="11"/>
        <cfvo type="num" val="19"/>
      </iconSet>
    </cfRule>
  </conditionalFormatting>
  <conditionalFormatting sqref="G47">
    <cfRule type="iconSet" priority="64">
      <iconSet iconSet="3Symbols2">
        <cfvo type="percent" val="0"/>
        <cfvo type="num" val="11"/>
        <cfvo type="num" val="19"/>
      </iconSet>
    </cfRule>
  </conditionalFormatting>
  <conditionalFormatting sqref="G48">
    <cfRule type="iconSet" priority="63">
      <iconSet iconSet="3Symbols2">
        <cfvo type="percent" val="0"/>
        <cfvo type="num" val="11"/>
        <cfvo type="num" val="19"/>
      </iconSet>
    </cfRule>
  </conditionalFormatting>
  <conditionalFormatting sqref="G49:G51">
    <cfRule type="iconSet" priority="62">
      <iconSet iconSet="3Symbols2">
        <cfvo type="percent" val="0"/>
        <cfvo type="num" val="11"/>
        <cfvo type="num" val="19"/>
      </iconSet>
    </cfRule>
  </conditionalFormatting>
  <conditionalFormatting sqref="G55">
    <cfRule type="iconSet" priority="61">
      <iconSet iconSet="3Symbols2">
        <cfvo type="percent" val="0"/>
        <cfvo type="num" val="11"/>
        <cfvo type="num" val="19"/>
      </iconSet>
    </cfRule>
  </conditionalFormatting>
  <conditionalFormatting sqref="G56">
    <cfRule type="iconSet" priority="60">
      <iconSet iconSet="3Symbols2">
        <cfvo type="percent" val="0"/>
        <cfvo type="num" val="11"/>
        <cfvo type="num" val="19"/>
      </iconSet>
    </cfRule>
  </conditionalFormatting>
  <conditionalFormatting sqref="G57">
    <cfRule type="iconSet" priority="59">
      <iconSet iconSet="3Symbols2">
        <cfvo type="percent" val="0"/>
        <cfvo type="num" val="11"/>
        <cfvo type="num" val="19"/>
      </iconSet>
    </cfRule>
  </conditionalFormatting>
  <conditionalFormatting sqref="G58">
    <cfRule type="iconSet" priority="58">
      <iconSet iconSet="3Symbols2">
        <cfvo type="percent" val="0"/>
        <cfvo type="num" val="11"/>
        <cfvo type="num" val="19"/>
      </iconSet>
    </cfRule>
  </conditionalFormatting>
  <conditionalFormatting sqref="G62:G63">
    <cfRule type="iconSet" priority="57">
      <iconSet iconSet="3Symbols2">
        <cfvo type="percent" val="0"/>
        <cfvo type="num" val="11"/>
        <cfvo type="num" val="19"/>
      </iconSet>
    </cfRule>
  </conditionalFormatting>
  <conditionalFormatting sqref="G76">
    <cfRule type="iconSet" priority="55">
      <iconSet iconSet="3Symbols2">
        <cfvo type="percent" val="0"/>
        <cfvo type="num" val="11"/>
        <cfvo type="num" val="19"/>
      </iconSet>
    </cfRule>
  </conditionalFormatting>
  <conditionalFormatting sqref="G80">
    <cfRule type="iconSet" priority="54">
      <iconSet iconSet="3Symbols2">
        <cfvo type="percent" val="0"/>
        <cfvo type="num" val="11"/>
        <cfvo type="num" val="19"/>
      </iconSet>
    </cfRule>
  </conditionalFormatting>
  <conditionalFormatting sqref="E35">
    <cfRule type="expression" dxfId="154" priority="53">
      <formula>$E$35=""</formula>
    </cfRule>
  </conditionalFormatting>
  <conditionalFormatting sqref="E36">
    <cfRule type="expression" dxfId="153" priority="52">
      <formula>$E$36=""</formula>
    </cfRule>
  </conditionalFormatting>
  <conditionalFormatting sqref="E37">
    <cfRule type="expression" dxfId="152" priority="51">
      <formula>$E$37=""</formula>
    </cfRule>
  </conditionalFormatting>
  <conditionalFormatting sqref="E38">
    <cfRule type="expression" dxfId="151" priority="50">
      <formula>$E$38=""</formula>
    </cfRule>
  </conditionalFormatting>
  <conditionalFormatting sqref="E42">
    <cfRule type="expression" dxfId="150" priority="49">
      <formula>$E$42=""</formula>
    </cfRule>
  </conditionalFormatting>
  <conditionalFormatting sqref="E44">
    <cfRule type="expression" dxfId="149" priority="48">
      <formula>$E$44=""</formula>
    </cfRule>
  </conditionalFormatting>
  <conditionalFormatting sqref="E45">
    <cfRule type="expression" dxfId="148" priority="47">
      <formula>$E$45=""</formula>
    </cfRule>
  </conditionalFormatting>
  <conditionalFormatting sqref="E46">
    <cfRule type="expression" dxfId="147" priority="46">
      <formula>$E$46=""</formula>
    </cfRule>
  </conditionalFormatting>
  <conditionalFormatting sqref="E47">
    <cfRule type="expression" dxfId="146" priority="45">
      <formula>$E$47=""</formula>
    </cfRule>
  </conditionalFormatting>
  <conditionalFormatting sqref="E48">
    <cfRule type="expression" dxfId="145" priority="44">
      <formula>$E$48=""</formula>
    </cfRule>
  </conditionalFormatting>
  <conditionalFormatting sqref="E49">
    <cfRule type="expression" dxfId="144" priority="43">
      <formula>$E$49=""</formula>
    </cfRule>
  </conditionalFormatting>
  <conditionalFormatting sqref="E55">
    <cfRule type="expression" dxfId="143" priority="42">
      <formula>$E$55=""</formula>
    </cfRule>
  </conditionalFormatting>
  <conditionalFormatting sqref="E56">
    <cfRule type="expression" dxfId="142" priority="41">
      <formula>$E$56=""</formula>
    </cfRule>
  </conditionalFormatting>
  <conditionalFormatting sqref="E57">
    <cfRule type="expression" dxfId="141" priority="40">
      <formula>$E$57=""</formula>
    </cfRule>
  </conditionalFormatting>
  <conditionalFormatting sqref="E58">
    <cfRule type="expression" dxfId="140" priority="39">
      <formula>$E$58=""</formula>
    </cfRule>
  </conditionalFormatting>
  <conditionalFormatting sqref="E62">
    <cfRule type="expression" dxfId="139" priority="38">
      <formula>$E$62=""</formula>
    </cfRule>
  </conditionalFormatting>
  <conditionalFormatting sqref="E64:E66">
    <cfRule type="expression" dxfId="138" priority="37">
      <formula>$E$64=""</formula>
    </cfRule>
  </conditionalFormatting>
  <conditionalFormatting sqref="E76">
    <cfRule type="expression" dxfId="137" priority="36">
      <formula>$E$76=""</formula>
    </cfRule>
  </conditionalFormatting>
  <conditionalFormatting sqref="E80">
    <cfRule type="expression" dxfId="136" priority="35">
      <formula>$E$80=""</formula>
    </cfRule>
  </conditionalFormatting>
  <conditionalFormatting sqref="H35">
    <cfRule type="expression" dxfId="135" priority="34">
      <formula>$E$35="No"</formula>
    </cfRule>
  </conditionalFormatting>
  <conditionalFormatting sqref="J35">
    <cfRule type="expression" dxfId="134" priority="33">
      <formula>$E$35="No"</formula>
    </cfRule>
  </conditionalFormatting>
  <conditionalFormatting sqref="H37">
    <cfRule type="expression" dxfId="133" priority="32">
      <formula>$E$37="No"</formula>
    </cfRule>
  </conditionalFormatting>
  <conditionalFormatting sqref="J37">
    <cfRule type="expression" dxfId="132" priority="30">
      <formula>$E$37="No"</formula>
    </cfRule>
  </conditionalFormatting>
  <conditionalFormatting sqref="H43">
    <cfRule type="expression" dxfId="131" priority="29">
      <formula>$E$43="No"</formula>
    </cfRule>
  </conditionalFormatting>
  <conditionalFormatting sqref="J43">
    <cfRule type="expression" dxfId="130" priority="28">
      <formula>$E$43="No"</formula>
    </cfRule>
  </conditionalFormatting>
  <conditionalFormatting sqref="E43">
    <cfRule type="expression" dxfId="129" priority="27">
      <formula>$E$43=""</formula>
    </cfRule>
  </conditionalFormatting>
  <conditionalFormatting sqref="E50">
    <cfRule type="expression" dxfId="128" priority="26">
      <formula>$E$50=""</formula>
    </cfRule>
  </conditionalFormatting>
  <conditionalFormatting sqref="E51">
    <cfRule type="expression" dxfId="127" priority="25">
      <formula>$E$51=""</formula>
    </cfRule>
  </conditionalFormatting>
  <conditionalFormatting sqref="E63">
    <cfRule type="expression" dxfId="126" priority="24">
      <formula>$E$63=""</formula>
    </cfRule>
  </conditionalFormatting>
  <conditionalFormatting sqref="E67">
    <cfRule type="expression" dxfId="125" priority="21">
      <formula>$E$67=""</formula>
    </cfRule>
  </conditionalFormatting>
  <conditionalFormatting sqref="E68">
    <cfRule type="expression" dxfId="124" priority="20">
      <formula>$E$68=""</formula>
    </cfRule>
  </conditionalFormatting>
  <conditionalFormatting sqref="E69">
    <cfRule type="expression" dxfId="123" priority="19">
      <formula>$E$69=""</formula>
    </cfRule>
  </conditionalFormatting>
  <conditionalFormatting sqref="E70">
    <cfRule type="expression" dxfId="122" priority="18">
      <formula>$E$70=""</formula>
    </cfRule>
  </conditionalFormatting>
  <conditionalFormatting sqref="E71">
    <cfRule type="expression" dxfId="121" priority="17">
      <formula>$E$71=""</formula>
    </cfRule>
  </conditionalFormatting>
  <conditionalFormatting sqref="E72">
    <cfRule type="expression" dxfId="120" priority="16">
      <formula>$E$72=""</formula>
    </cfRule>
  </conditionalFormatting>
  <conditionalFormatting sqref="E73">
    <cfRule type="expression" dxfId="119" priority="15">
      <formula>$E$73=""</formula>
    </cfRule>
  </conditionalFormatting>
  <conditionalFormatting sqref="E34">
    <cfRule type="expression" dxfId="118" priority="14">
      <formula>$E$34=""</formula>
    </cfRule>
  </conditionalFormatting>
  <conditionalFormatting sqref="E24">
    <cfRule type="expression" dxfId="117" priority="13">
      <formula>$E$24=""</formula>
    </cfRule>
  </conditionalFormatting>
  <conditionalFormatting sqref="E65">
    <cfRule type="expression" dxfId="116" priority="10">
      <formula>$E$65=""</formula>
    </cfRule>
  </conditionalFormatting>
  <conditionalFormatting sqref="E66">
    <cfRule type="expression" dxfId="115" priority="9">
      <formula>$E$66=""</formula>
    </cfRule>
  </conditionalFormatting>
  <conditionalFormatting sqref="G64:G73">
    <cfRule type="iconSet" priority="115">
      <iconSet iconSet="3Symbols2">
        <cfvo type="percent" val="0"/>
        <cfvo type="num" val="11"/>
        <cfvo type="num" val="19"/>
      </iconSet>
    </cfRule>
  </conditionalFormatting>
  <conditionalFormatting sqref="E23">
    <cfRule type="expression" dxfId="114" priority="8">
      <formula>$E$23=""</formula>
    </cfRule>
  </conditionalFormatting>
  <conditionalFormatting sqref="E25">
    <cfRule type="expression" dxfId="113" priority="7">
      <formula>$E$25=""</formula>
    </cfRule>
  </conditionalFormatting>
  <conditionalFormatting sqref="E14">
    <cfRule type="expression" dxfId="112" priority="6">
      <formula>$E$14=""</formula>
    </cfRule>
  </conditionalFormatting>
  <conditionalFormatting sqref="E11">
    <cfRule type="expression" dxfId="111" priority="5">
      <formula>$E$11=""</formula>
    </cfRule>
  </conditionalFormatting>
  <conditionalFormatting sqref="G2">
    <cfRule type="iconSet" priority="3">
      <iconSet iconSet="3Symbols2">
        <cfvo type="percent" val="0"/>
        <cfvo type="num" val="11"/>
        <cfvo type="num" val="20"/>
      </iconSet>
    </cfRule>
  </conditionalFormatting>
  <conditionalFormatting sqref="G3">
    <cfRule type="iconSet" priority="2">
      <iconSet iconSet="3Symbols2">
        <cfvo type="percent" val="0"/>
        <cfvo type="num" val="11"/>
        <cfvo type="num" val="20"/>
      </iconSet>
    </cfRule>
  </conditionalFormatting>
  <conditionalFormatting sqref="G4">
    <cfRule type="iconSet" priority="1">
      <iconSet iconSet="3Symbols2">
        <cfvo type="percent" val="0"/>
        <cfvo type="num" val="10"/>
        <cfvo type="num" val="20"/>
      </iconSet>
    </cfRule>
  </conditionalFormatting>
  <dataValidations xWindow="881" yWindow="558" count="17">
    <dataValidation type="list" allowBlank="1" showInputMessage="1" showErrorMessage="1" sqref="E71 E80 E43 E49 E64 E67">
      <formula1>"Yes,No"</formula1>
    </dataValidation>
    <dataValidation type="list" allowBlank="1" showInputMessage="1" showErrorMessage="1" sqref="E42">
      <formula1>"Virtual,Physical"</formula1>
    </dataValidation>
    <dataValidation type="list" allowBlank="1" showInputMessage="1" showErrorMessage="1" sqref="E28">
      <formula1>"2,4"</formula1>
    </dataValidation>
    <dataValidation allowBlank="1" showInputMessage="1" showErrorMessage="1" prompt="This can be up to 32 characters" sqref="E55"/>
    <dataValidation allowBlank="1" showInputMessage="1" showErrorMessage="1" prompt="This is the IP address the array/nodes will use. Only 1 IP adress is required" sqref="E56"/>
    <dataValidation allowBlank="1" showInputMessage="1" showErrorMessage="1" prompt="This is the adress for the Service Processor. 1 IP address is required." sqref="E44"/>
    <dataValidation type="list" allowBlank="1" showInputMessage="1" showErrorMessage="1" prompt="It is manditory that all systems be installed with redundant power. This generally means that all used power outlets be fed from 2 seperate sources. Please let us know if you have any questions regarding redundant power requirements." sqref="E36">
      <formula1>"Yes,No"</formula1>
    </dataValidation>
    <dataValidation type="list" allowBlank="1" showInputMessage="1" showErrorMessage="1" prompt="A Ethernet network drop is required for EACH node. All nodes will share a single/clustered IP address. Also a physical SP requires a Ethernet network drop and will need its own IP address. Preferably both IP addresses should be on the same subnet." sqref="E37">
      <formula1>"Yes,No"</formula1>
    </dataValidation>
    <dataValidation type="list" allowBlank="1" showInputMessage="1" showErrorMessage="1" prompt="This space is required for service and allows the removal/replacement of hardware components." sqref="E38">
      <formula1>"Yes,No"</formula1>
    </dataValidation>
    <dataValidation type="list" allowBlank="1" showInputMessage="1" showErrorMessage="1" prompt="Factory integrated racks: Each rack requires 4 outlets, 2 if only the bottom half of rack is populated._x000a__x000a_Customer provided racks:_x000a_Node chassis requires (2) C13/C14 outlets_x000a_Drive chassis requires (2) C13/C14 outlets_x000a__x000a_Physical SP requires (1) C13/C14 outlet" sqref="E35">
      <formula1>"Yes,No"</formula1>
    </dataValidation>
    <dataValidation type="list" allowBlank="1" showInputMessage="1" showErrorMessage="1" sqref="E48">
      <formula1>"full Duplex,half Duplex"</formula1>
    </dataValidation>
    <dataValidation type="list" allowBlank="1" showInputMessage="1" showErrorMessage="1" sqref="E47">
      <formula1>"10 Mbit/s,100 Mbit/s,1000 Mbit/s,auto"</formula1>
    </dataValidation>
    <dataValidation type="list" allowBlank="1" showInputMessage="1" showErrorMessage="1" sqref="E21">
      <formula1>"HP Order,Partner Order"</formula1>
    </dataValidation>
    <dataValidation type="list" allowBlank="1" showInputMessage="1" showErrorMessage="1" prompt="Please see the Storeserv 7000 User Guide for a list of HP approved vendor racks." sqref="E34">
      <formula1>"Yes,No"</formula1>
    </dataValidation>
    <dataValidation type="list" allowBlank="1" showInputMessage="1" showErrorMessage="1" sqref="E26">
      <formula1>"BAFS,BOSS"</formula1>
    </dataValidation>
    <dataValidation type="list" allowBlank="1" showInputMessage="1" showErrorMessage="1" prompt="Please see the Secure Service Architecture white paper which explains key security features that are important to developing an understanding of how diagnostic information is collected and transmitted and how remote service connections are secured._x000a_" sqref="E62:E63">
      <formula1>"Yes,No"</formula1>
    </dataValidation>
    <dataValidation type="list" allowBlank="1" showInputMessage="1" showErrorMessage="1" sqref="E68">
      <formula1>"http,Socks4,Socks5"</formula1>
    </dataValidation>
  </dataValidations>
  <hyperlinks>
    <hyperlink ref="C80" location="'Customer obligations'!A3" display="Have you completed all items in the customer obligations tab"/>
    <hyperlink ref="C12" location="'additional Contacts'!B6" display="Customer technical contact: [if you need more contacts, click here] "/>
  </hyperlinks>
  <pageMargins left="0.25" right="0.25" top="0.75" bottom="0.75" header="0.3" footer="0.3"/>
  <pageSetup scale="52" orientation="portrait" r:id="rId1"/>
  <headerFooter>
    <oddFooter>&amp;CVersion 2.3.2</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K90"/>
  <sheetViews>
    <sheetView showGridLines="0" showRowColHeaders="0" showRuler="0" zoomScaleNormal="100" workbookViewId="0">
      <selection activeCell="E9" sqref="E9"/>
    </sheetView>
  </sheetViews>
  <sheetFormatPr defaultRowHeight="13.5" x14ac:dyDescent="0.2"/>
  <cols>
    <col min="1" max="1" width="7.28515625" style="100" customWidth="1"/>
    <col min="2" max="2" width="0.85546875" style="2" customWidth="1"/>
    <col min="3" max="3" width="60.42578125" style="20" customWidth="1"/>
    <col min="4" max="4" width="0.5703125" style="2" customWidth="1"/>
    <col min="5" max="5" width="32.7109375" style="24" customWidth="1"/>
    <col min="6" max="6" width="1.28515625" style="2" customWidth="1"/>
    <col min="7" max="7" width="3.28515625" style="2" customWidth="1"/>
    <col min="8" max="8" width="13.7109375" style="2" customWidth="1"/>
    <col min="9" max="9" width="1.28515625" style="2" customWidth="1"/>
    <col min="10" max="10" width="18.85546875" style="2" customWidth="1"/>
    <col min="11" max="16384" width="9.140625" style="2"/>
  </cols>
  <sheetData>
    <row r="1" spans="3:11" x14ac:dyDescent="0.2">
      <c r="C1" s="43" t="str">
        <f>calc_partner!H6</f>
        <v>Red</v>
      </c>
    </row>
    <row r="2" spans="3:11" ht="15" customHeight="1" x14ac:dyDescent="0.25">
      <c r="C2" s="130" t="s">
        <v>96</v>
      </c>
      <c r="D2" s="131"/>
      <c r="E2" s="131"/>
      <c r="F2" s="97"/>
      <c r="G2" s="118">
        <f>IF(F2="",20,20)</f>
        <v>20</v>
      </c>
      <c r="H2" s="146" t="s">
        <v>163</v>
      </c>
      <c r="I2" s="147"/>
      <c r="J2" s="147"/>
    </row>
    <row r="3" spans="3:11" ht="15.75" x14ac:dyDescent="0.2">
      <c r="C3" s="145" t="s">
        <v>114</v>
      </c>
      <c r="D3" s="134"/>
      <c r="E3" s="134"/>
      <c r="G3" s="118">
        <f>IF(F3="",9,20)</f>
        <v>9</v>
      </c>
      <c r="H3" s="146" t="s">
        <v>164</v>
      </c>
      <c r="I3" s="147"/>
      <c r="J3" s="147"/>
    </row>
    <row r="4" spans="3:11" ht="15.75" x14ac:dyDescent="0.2">
      <c r="C4" s="46"/>
      <c r="D4" s="12"/>
      <c r="E4" s="28"/>
      <c r="G4" s="118">
        <f>IF(F4="",10,20)</f>
        <v>10</v>
      </c>
      <c r="H4" s="146" t="s">
        <v>165</v>
      </c>
      <c r="I4" s="147"/>
      <c r="J4" s="147"/>
    </row>
    <row r="5" spans="3:11" ht="15" x14ac:dyDescent="0.2">
      <c r="C5" s="46"/>
      <c r="D5" s="12"/>
      <c r="E5" s="28"/>
    </row>
    <row r="6" spans="3:11" ht="15" x14ac:dyDescent="0.25">
      <c r="C6" s="46"/>
      <c r="D6" s="12"/>
      <c r="E6" s="10" t="str">
        <f>IF(C1="Green","ALL FIELDS ARE COMPLETED","ALL RED FIELDS ARE MANDATORY")</f>
        <v>ALL RED FIELDS ARE MANDATORY</v>
      </c>
      <c r="H6" s="139"/>
      <c r="I6" s="140"/>
      <c r="J6" s="141"/>
    </row>
    <row r="7" spans="3:11" ht="14.25" x14ac:dyDescent="0.2">
      <c r="C7" s="73" t="s">
        <v>141</v>
      </c>
      <c r="D7" s="12"/>
      <c r="H7" s="142"/>
      <c r="I7" s="143"/>
      <c r="J7" s="143"/>
      <c r="K7" s="143"/>
    </row>
    <row r="8" spans="3:11" ht="15" x14ac:dyDescent="0.2">
      <c r="C8" s="46"/>
      <c r="D8" s="12"/>
      <c r="E8" s="28"/>
      <c r="H8" s="144"/>
      <c r="I8" s="144"/>
      <c r="J8" s="144"/>
      <c r="K8" s="144"/>
    </row>
    <row r="9" spans="3:11" x14ac:dyDescent="0.2">
      <c r="C9" s="17" t="s">
        <v>138</v>
      </c>
      <c r="E9" s="74"/>
      <c r="G9" s="2">
        <f>IF(E9="",10,20)</f>
        <v>10</v>
      </c>
      <c r="H9" s="144"/>
      <c r="I9" s="144"/>
      <c r="J9" s="144"/>
      <c r="K9" s="144"/>
    </row>
    <row r="10" spans="3:11" x14ac:dyDescent="0.2">
      <c r="C10" s="17" t="s">
        <v>139</v>
      </c>
      <c r="E10" s="75"/>
      <c r="G10" s="2">
        <f>IF(E10="",10,20)</f>
        <v>10</v>
      </c>
      <c r="H10" s="144"/>
      <c r="I10" s="144"/>
      <c r="J10" s="144"/>
      <c r="K10" s="144"/>
    </row>
    <row r="11" spans="3:11" ht="14.25" x14ac:dyDescent="0.2">
      <c r="C11" s="38" t="s">
        <v>153</v>
      </c>
      <c r="D11" s="12"/>
      <c r="E11" s="74"/>
      <c r="G11" s="2">
        <f>IF(E11="",10,20)</f>
        <v>10</v>
      </c>
      <c r="H11" s="144"/>
      <c r="I11" s="144"/>
      <c r="J11" s="144"/>
      <c r="K11" s="144"/>
    </row>
    <row r="12" spans="3:11" x14ac:dyDescent="0.2">
      <c r="C12" s="17" t="s">
        <v>176</v>
      </c>
      <c r="E12" s="74"/>
      <c r="G12" s="2">
        <f t="shared" ref="G12:G30" si="0">IF(E12="",10,20)</f>
        <v>10</v>
      </c>
      <c r="H12" s="144"/>
      <c r="I12" s="144"/>
      <c r="J12" s="144"/>
      <c r="K12" s="144"/>
    </row>
    <row r="13" spans="3:11" x14ac:dyDescent="0.2">
      <c r="C13" s="17" t="s">
        <v>97</v>
      </c>
      <c r="E13" s="75"/>
      <c r="G13" s="2">
        <f t="shared" si="0"/>
        <v>10</v>
      </c>
      <c r="H13" s="144"/>
      <c r="I13" s="144"/>
      <c r="J13" s="144"/>
      <c r="K13" s="144"/>
    </row>
    <row r="14" spans="3:11" x14ac:dyDescent="0.2">
      <c r="C14" s="17" t="s">
        <v>157</v>
      </c>
      <c r="E14" s="74"/>
      <c r="G14" s="2">
        <f t="shared" si="0"/>
        <v>10</v>
      </c>
      <c r="H14" s="144"/>
      <c r="I14" s="144"/>
      <c r="J14" s="144"/>
      <c r="K14" s="144"/>
    </row>
    <row r="15" spans="3:11" x14ac:dyDescent="0.2">
      <c r="C15" s="17" t="s">
        <v>158</v>
      </c>
      <c r="E15" s="74"/>
      <c r="G15" s="2">
        <f t="shared" si="0"/>
        <v>10</v>
      </c>
      <c r="H15" s="144"/>
      <c r="I15" s="144"/>
      <c r="J15" s="144"/>
      <c r="K15" s="144"/>
    </row>
    <row r="16" spans="3:11" x14ac:dyDescent="0.2">
      <c r="C16" s="17" t="s">
        <v>159</v>
      </c>
      <c r="E16" s="74"/>
      <c r="G16" s="2">
        <f t="shared" si="0"/>
        <v>10</v>
      </c>
      <c r="H16" s="144"/>
      <c r="I16" s="144"/>
      <c r="J16" s="144"/>
      <c r="K16" s="144"/>
    </row>
    <row r="17" spans="1:7" x14ac:dyDescent="0.2">
      <c r="C17" s="101"/>
      <c r="E17" s="74"/>
      <c r="G17" s="2">
        <f>IF(E17="",11,20)</f>
        <v>11</v>
      </c>
    </row>
    <row r="18" spans="1:7" x14ac:dyDescent="0.2">
      <c r="C18" s="17" t="s">
        <v>160</v>
      </c>
      <c r="E18" s="74"/>
      <c r="G18" s="2">
        <f t="shared" si="0"/>
        <v>10</v>
      </c>
    </row>
    <row r="19" spans="1:7" ht="14.25" x14ac:dyDescent="0.2">
      <c r="C19" s="38" t="s">
        <v>161</v>
      </c>
      <c r="D19" s="12"/>
      <c r="E19" s="74"/>
      <c r="G19" s="2">
        <f t="shared" si="0"/>
        <v>10</v>
      </c>
    </row>
    <row r="20" spans="1:7" ht="14.25" x14ac:dyDescent="0.2">
      <c r="C20" s="46"/>
      <c r="D20" s="12"/>
      <c r="E20" s="29"/>
    </row>
    <row r="21" spans="1:7" ht="14.25" x14ac:dyDescent="0.2">
      <c r="C21" s="38" t="s">
        <v>93</v>
      </c>
      <c r="D21" s="12"/>
      <c r="E21" s="74"/>
      <c r="G21" s="2">
        <f t="shared" si="0"/>
        <v>10</v>
      </c>
    </row>
    <row r="22" spans="1:7" x14ac:dyDescent="0.2">
      <c r="C22" s="17" t="str">
        <f>IF(E21="Partner Order","Partner Sales order number:","HP Sales order number")</f>
        <v>HP Sales order number</v>
      </c>
      <c r="E22" s="74"/>
      <c r="G22" s="2">
        <f t="shared" si="0"/>
        <v>10</v>
      </c>
    </row>
    <row r="23" spans="1:7" x14ac:dyDescent="0.2">
      <c r="A23" s="108"/>
      <c r="C23" s="17" t="s">
        <v>142</v>
      </c>
      <c r="E23" s="74"/>
      <c r="G23" s="2">
        <f t="shared" si="0"/>
        <v>10</v>
      </c>
    </row>
    <row r="24" spans="1:7" x14ac:dyDescent="0.2">
      <c r="C24" s="17" t="s">
        <v>130</v>
      </c>
      <c r="E24" s="94"/>
      <c r="G24" s="2">
        <f>IF(E24="",11,20)</f>
        <v>11</v>
      </c>
    </row>
    <row r="25" spans="1:7" x14ac:dyDescent="0.2">
      <c r="A25" s="108"/>
      <c r="C25" s="17" t="s">
        <v>145</v>
      </c>
      <c r="E25" s="94"/>
      <c r="G25" s="2">
        <f>IF(E25="",11,20)</f>
        <v>11</v>
      </c>
    </row>
    <row r="26" spans="1:7" ht="25.5" x14ac:dyDescent="0.2">
      <c r="C26" s="17" t="s">
        <v>111</v>
      </c>
      <c r="E26" s="76"/>
      <c r="G26" s="102">
        <f t="shared" si="0"/>
        <v>10</v>
      </c>
    </row>
    <row r="27" spans="1:7" x14ac:dyDescent="0.2">
      <c r="C27" s="17" t="s">
        <v>69</v>
      </c>
      <c r="E27" s="74"/>
      <c r="G27" s="2">
        <f t="shared" si="0"/>
        <v>10</v>
      </c>
    </row>
    <row r="28" spans="1:7" x14ac:dyDescent="0.2">
      <c r="C28" s="17" t="s">
        <v>118</v>
      </c>
      <c r="E28" s="74"/>
      <c r="G28" s="2">
        <f t="shared" si="0"/>
        <v>10</v>
      </c>
    </row>
    <row r="29" spans="1:7" x14ac:dyDescent="0.2">
      <c r="C29" s="17" t="s">
        <v>151</v>
      </c>
      <c r="E29" s="74"/>
      <c r="G29" s="2">
        <f t="shared" si="0"/>
        <v>10</v>
      </c>
    </row>
    <row r="30" spans="1:7" x14ac:dyDescent="0.2">
      <c r="C30" s="17" t="s">
        <v>148</v>
      </c>
      <c r="E30" s="74"/>
      <c r="G30" s="2">
        <f t="shared" si="0"/>
        <v>10</v>
      </c>
    </row>
    <row r="31" spans="1:7" x14ac:dyDescent="0.2">
      <c r="C31" s="21"/>
      <c r="E31" s="29"/>
    </row>
    <row r="32" spans="1:7" ht="14.25" x14ac:dyDescent="0.2">
      <c r="C32" s="47" t="s">
        <v>129</v>
      </c>
    </row>
    <row r="33" spans="1:10" ht="14.25" thickBot="1" x14ac:dyDescent="0.25">
      <c r="C33" s="19"/>
    </row>
    <row r="34" spans="1:10" ht="14.25" hidden="1" thickBot="1" x14ac:dyDescent="0.25">
      <c r="C34" s="17" t="s">
        <v>112</v>
      </c>
      <c r="E34" s="41" t="s">
        <v>133</v>
      </c>
      <c r="G34" s="2">
        <f t="shared" ref="G34:G38" si="1">IF(E34="",10,20)</f>
        <v>20</v>
      </c>
    </row>
    <row r="35" spans="1:10" ht="14.25" thickBot="1" x14ac:dyDescent="0.25">
      <c r="C35" s="71" t="s">
        <v>78</v>
      </c>
      <c r="E35" s="41"/>
      <c r="G35" s="2">
        <f t="shared" si="1"/>
        <v>10</v>
      </c>
      <c r="H35" s="39" t="s">
        <v>94</v>
      </c>
      <c r="J35" s="40"/>
    </row>
    <row r="36" spans="1:10" ht="14.25" thickBot="1" x14ac:dyDescent="0.25">
      <c r="C36" s="17" t="s">
        <v>95</v>
      </c>
      <c r="E36" s="41"/>
      <c r="G36" s="2">
        <f t="shared" si="1"/>
        <v>10</v>
      </c>
    </row>
    <row r="37" spans="1:10" ht="14.25" thickBot="1" x14ac:dyDescent="0.25">
      <c r="C37" s="17" t="s">
        <v>77</v>
      </c>
      <c r="E37" s="41"/>
      <c r="G37" s="2">
        <f t="shared" si="1"/>
        <v>10</v>
      </c>
      <c r="H37" s="39" t="s">
        <v>94</v>
      </c>
      <c r="J37" s="40"/>
    </row>
    <row r="38" spans="1:10" x14ac:dyDescent="0.2">
      <c r="C38" s="17" t="s">
        <v>98</v>
      </c>
      <c r="E38" s="41"/>
      <c r="G38" s="2">
        <f t="shared" si="1"/>
        <v>10</v>
      </c>
    </row>
    <row r="39" spans="1:10" x14ac:dyDescent="0.2">
      <c r="C39" s="101"/>
      <c r="E39" s="29"/>
    </row>
    <row r="40" spans="1:10" ht="14.25" x14ac:dyDescent="0.2">
      <c r="C40" s="47" t="s">
        <v>87</v>
      </c>
      <c r="D40" s="98"/>
      <c r="E40" s="25"/>
    </row>
    <row r="41" spans="1:10" x14ac:dyDescent="0.2">
      <c r="A41" s="100" t="s">
        <v>0</v>
      </c>
      <c r="C41" s="101"/>
      <c r="D41" s="98"/>
      <c r="E41" s="25"/>
    </row>
    <row r="42" spans="1:10" ht="14.25" thickBot="1" x14ac:dyDescent="0.25">
      <c r="C42" s="17" t="s">
        <v>63</v>
      </c>
      <c r="E42" s="41"/>
      <c r="G42" s="2">
        <f t="shared" ref="G42:G51" si="2">IF(E42="",10,20)</f>
        <v>10</v>
      </c>
      <c r="H42" s="66"/>
    </row>
    <row r="43" spans="1:10" ht="14.25" thickBot="1" x14ac:dyDescent="0.25">
      <c r="C43" s="17" t="s">
        <v>146</v>
      </c>
      <c r="E43" s="41"/>
      <c r="G43" s="2">
        <f t="shared" si="2"/>
        <v>10</v>
      </c>
      <c r="H43" s="39" t="s">
        <v>94</v>
      </c>
      <c r="J43" s="40"/>
    </row>
    <row r="44" spans="1:10" x14ac:dyDescent="0.2">
      <c r="C44" s="17" t="s">
        <v>62</v>
      </c>
      <c r="E44" s="41"/>
      <c r="G44" s="2">
        <f t="shared" si="2"/>
        <v>10</v>
      </c>
    </row>
    <row r="45" spans="1:10" x14ac:dyDescent="0.2">
      <c r="C45" s="17" t="s">
        <v>88</v>
      </c>
      <c r="E45" s="41"/>
      <c r="G45" s="2">
        <f t="shared" si="2"/>
        <v>10</v>
      </c>
    </row>
    <row r="46" spans="1:10" x14ac:dyDescent="0.2">
      <c r="C46" s="17" t="s">
        <v>89</v>
      </c>
      <c r="E46" s="41"/>
      <c r="G46" s="2">
        <f t="shared" si="2"/>
        <v>10</v>
      </c>
    </row>
    <row r="47" spans="1:10" x14ac:dyDescent="0.2">
      <c r="C47" s="17" t="s">
        <v>36</v>
      </c>
      <c r="E47" s="41"/>
      <c r="G47" s="2">
        <f t="shared" si="2"/>
        <v>10</v>
      </c>
    </row>
    <row r="48" spans="1:10" x14ac:dyDescent="0.2">
      <c r="C48" s="17" t="s">
        <v>37</v>
      </c>
      <c r="E48" s="41"/>
      <c r="G48" s="2">
        <f t="shared" si="2"/>
        <v>10</v>
      </c>
    </row>
    <row r="49" spans="1:11" x14ac:dyDescent="0.2">
      <c r="C49" s="17" t="s">
        <v>34</v>
      </c>
      <c r="E49" s="41"/>
      <c r="G49" s="2">
        <f t="shared" si="2"/>
        <v>10</v>
      </c>
    </row>
    <row r="50" spans="1:11" ht="25.5" x14ac:dyDescent="0.2">
      <c r="C50" s="17" t="s">
        <v>135</v>
      </c>
      <c r="E50" s="84"/>
      <c r="G50" s="102">
        <f t="shared" si="2"/>
        <v>10</v>
      </c>
    </row>
    <row r="51" spans="1:11" ht="25.5" x14ac:dyDescent="0.2">
      <c r="C51" s="17" t="s">
        <v>134</v>
      </c>
      <c r="E51" s="41"/>
      <c r="G51" s="102">
        <f t="shared" si="2"/>
        <v>10</v>
      </c>
    </row>
    <row r="53" spans="1:11" ht="13.5" customHeight="1" x14ac:dyDescent="0.2">
      <c r="C53" s="48" t="s">
        <v>90</v>
      </c>
    </row>
    <row r="55" spans="1:11" x14ac:dyDescent="0.2">
      <c r="C55" s="17" t="s">
        <v>55</v>
      </c>
      <c r="E55" s="41"/>
      <c r="G55" s="2">
        <f t="shared" ref="G55:G58" si="3">IF(E55="",10,20)</f>
        <v>10</v>
      </c>
    </row>
    <row r="56" spans="1:11" x14ac:dyDescent="0.2">
      <c r="C56" s="17" t="s">
        <v>31</v>
      </c>
      <c r="E56" s="41"/>
      <c r="G56" s="2">
        <f t="shared" si="3"/>
        <v>10</v>
      </c>
    </row>
    <row r="57" spans="1:11" x14ac:dyDescent="0.2">
      <c r="C57" s="17" t="s">
        <v>88</v>
      </c>
      <c r="E57" s="41"/>
      <c r="G57" s="2">
        <f t="shared" si="3"/>
        <v>10</v>
      </c>
    </row>
    <row r="58" spans="1:11" x14ac:dyDescent="0.2">
      <c r="C58" s="17" t="s">
        <v>89</v>
      </c>
      <c r="E58" s="41"/>
      <c r="G58" s="2">
        <f t="shared" si="3"/>
        <v>10</v>
      </c>
    </row>
    <row r="59" spans="1:11" x14ac:dyDescent="0.2">
      <c r="C59" s="101"/>
      <c r="E59" s="29"/>
    </row>
    <row r="60" spans="1:11" ht="14.25" x14ac:dyDescent="0.2">
      <c r="C60" s="48" t="s">
        <v>91</v>
      </c>
    </row>
    <row r="61" spans="1:11" x14ac:dyDescent="0.2">
      <c r="A61" s="100" t="s">
        <v>0</v>
      </c>
    </row>
    <row r="62" spans="1:11" x14ac:dyDescent="0.2">
      <c r="C62" s="71" t="s">
        <v>122</v>
      </c>
      <c r="E62" s="41"/>
      <c r="G62" s="2">
        <f t="shared" ref="G62:G73" si="4">IF(E62="",10,20)</f>
        <v>10</v>
      </c>
      <c r="I62" s="99"/>
      <c r="J62" s="99"/>
      <c r="K62" s="99"/>
    </row>
    <row r="63" spans="1:11" ht="25.5" x14ac:dyDescent="0.2">
      <c r="C63" s="71" t="s">
        <v>123</v>
      </c>
      <c r="E63" s="87"/>
      <c r="G63" s="102">
        <f t="shared" si="4"/>
        <v>10</v>
      </c>
      <c r="I63" s="99"/>
      <c r="J63" s="99"/>
      <c r="K63" s="99"/>
    </row>
    <row r="64" spans="1:11" x14ac:dyDescent="0.2">
      <c r="C64" s="17" t="s">
        <v>131</v>
      </c>
      <c r="E64" s="41"/>
      <c r="G64" s="2">
        <f t="shared" si="4"/>
        <v>10</v>
      </c>
    </row>
    <row r="65" spans="1:7" x14ac:dyDescent="0.2">
      <c r="C65" s="17" t="s">
        <v>136</v>
      </c>
      <c r="E65" s="41"/>
      <c r="G65" s="2">
        <f t="shared" si="4"/>
        <v>10</v>
      </c>
    </row>
    <row r="66" spans="1:7" x14ac:dyDescent="0.2">
      <c r="C66" s="17" t="s">
        <v>137</v>
      </c>
      <c r="E66" s="41"/>
      <c r="G66" s="2">
        <f t="shared" si="4"/>
        <v>10</v>
      </c>
    </row>
    <row r="67" spans="1:7" x14ac:dyDescent="0.2">
      <c r="C67" s="71" t="s">
        <v>124</v>
      </c>
      <c r="E67" s="41"/>
      <c r="G67" s="2">
        <f t="shared" si="4"/>
        <v>10</v>
      </c>
    </row>
    <row r="68" spans="1:7" x14ac:dyDescent="0.2">
      <c r="C68" s="17" t="s">
        <v>40</v>
      </c>
      <c r="E68" s="41"/>
      <c r="G68" s="2">
        <f t="shared" si="4"/>
        <v>10</v>
      </c>
    </row>
    <row r="69" spans="1:7" x14ac:dyDescent="0.2">
      <c r="C69" s="17" t="s">
        <v>41</v>
      </c>
      <c r="E69" s="41"/>
      <c r="G69" s="2">
        <f t="shared" si="4"/>
        <v>10</v>
      </c>
    </row>
    <row r="70" spans="1:7" x14ac:dyDescent="0.2">
      <c r="C70" s="17" t="s">
        <v>42</v>
      </c>
      <c r="E70" s="41"/>
      <c r="G70" s="2">
        <f t="shared" si="4"/>
        <v>10</v>
      </c>
    </row>
    <row r="71" spans="1:7" ht="13.5" customHeight="1" x14ac:dyDescent="0.2">
      <c r="C71" s="71" t="s">
        <v>43</v>
      </c>
      <c r="E71" s="41"/>
      <c r="G71" s="2">
        <f t="shared" si="4"/>
        <v>10</v>
      </c>
    </row>
    <row r="72" spans="1:7" ht="13.5" customHeight="1" x14ac:dyDescent="0.2">
      <c r="A72" s="100" t="s">
        <v>0</v>
      </c>
      <c r="C72" s="17" t="s">
        <v>44</v>
      </c>
      <c r="E72" s="41"/>
      <c r="G72" s="2">
        <f t="shared" si="4"/>
        <v>10</v>
      </c>
    </row>
    <row r="73" spans="1:7" ht="13.5" customHeight="1" x14ac:dyDescent="0.2">
      <c r="C73" s="17" t="s">
        <v>45</v>
      </c>
      <c r="E73" s="41"/>
      <c r="G73" s="2">
        <f t="shared" si="4"/>
        <v>10</v>
      </c>
    </row>
    <row r="74" spans="1:7" ht="13.5" customHeight="1" x14ac:dyDescent="0.2">
      <c r="C74" s="77"/>
      <c r="E74" s="36"/>
    </row>
    <row r="75" spans="1:7" x14ac:dyDescent="0.2">
      <c r="A75" s="100" t="s">
        <v>0</v>
      </c>
    </row>
    <row r="76" spans="1:7" x14ac:dyDescent="0.2">
      <c r="C76" s="71" t="s">
        <v>92</v>
      </c>
      <c r="E76" s="41"/>
      <c r="G76" s="2">
        <f t="shared" ref="G76" si="5">IF(E76="",10,20)</f>
        <v>10</v>
      </c>
    </row>
    <row r="77" spans="1:7" hidden="1" x14ac:dyDescent="0.2">
      <c r="C77" s="17" t="s">
        <v>48</v>
      </c>
      <c r="E77" s="26"/>
    </row>
    <row r="78" spans="1:7" hidden="1" x14ac:dyDescent="0.2">
      <c r="C78" s="17" t="s">
        <v>49</v>
      </c>
      <c r="E78" s="41"/>
    </row>
    <row r="80" spans="1:7" ht="15" x14ac:dyDescent="0.2">
      <c r="C80" s="70" t="s">
        <v>109</v>
      </c>
      <c r="E80" s="41"/>
      <c r="G80" s="2">
        <f t="shared" ref="G80" si="6">IF(E80="",10,20)</f>
        <v>10</v>
      </c>
    </row>
    <row r="81" spans="1:5" ht="15.75" customHeight="1" x14ac:dyDescent="0.25">
      <c r="C81" s="22" t="s">
        <v>0</v>
      </c>
      <c r="E81" s="27"/>
    </row>
    <row r="82" spans="1:5" ht="115.5" x14ac:dyDescent="0.25">
      <c r="C82" s="65" t="s">
        <v>150</v>
      </c>
      <c r="E82" s="27"/>
    </row>
    <row r="83" spans="1:5" x14ac:dyDescent="0.25">
      <c r="C83" s="22"/>
      <c r="E83" s="27"/>
    </row>
    <row r="86" spans="1:5" ht="15.75" customHeight="1" x14ac:dyDescent="0.2"/>
    <row r="87" spans="1:5" x14ac:dyDescent="0.2">
      <c r="C87" s="20" t="s">
        <v>0</v>
      </c>
    </row>
    <row r="88" spans="1:5" x14ac:dyDescent="0.2">
      <c r="A88" s="100" t="s">
        <v>0</v>
      </c>
    </row>
    <row r="89" spans="1:5" ht="12.75" x14ac:dyDescent="0.2">
      <c r="C89" s="138" t="s">
        <v>0</v>
      </c>
      <c r="D89" s="138"/>
      <c r="E89" s="138"/>
    </row>
    <row r="90" spans="1:5" ht="57.75" customHeight="1" x14ac:dyDescent="0.2"/>
  </sheetData>
  <sheetProtection password="8121" sheet="1" objects="1" scenarios="1" formatRows="0" selectLockedCells="1"/>
  <mergeCells count="8">
    <mergeCell ref="C2:E2"/>
    <mergeCell ref="C3:E3"/>
    <mergeCell ref="H6:J6"/>
    <mergeCell ref="H7:K16"/>
    <mergeCell ref="C89:E89"/>
    <mergeCell ref="H2:J2"/>
    <mergeCell ref="H3:J3"/>
    <mergeCell ref="H4:J4"/>
  </mergeCells>
  <conditionalFormatting sqref="C22:C25">
    <cfRule type="expression" dxfId="110" priority="81">
      <formula>IF($E$21="Partner Order","Partner Sales order number(s):","HP Sales order number(s):")</formula>
    </cfRule>
  </conditionalFormatting>
  <conditionalFormatting sqref="E6">
    <cfRule type="expression" dxfId="109" priority="80">
      <formula>$C$1="Green"</formula>
    </cfRule>
  </conditionalFormatting>
  <conditionalFormatting sqref="E9">
    <cfRule type="expression" dxfId="108" priority="79">
      <formula>$E$9=""</formula>
    </cfRule>
  </conditionalFormatting>
  <conditionalFormatting sqref="E10">
    <cfRule type="expression" dxfId="107" priority="78">
      <formula>$E$10=""</formula>
    </cfRule>
  </conditionalFormatting>
  <conditionalFormatting sqref="E12">
    <cfRule type="expression" dxfId="106" priority="77">
      <formula>$E$12=""</formula>
    </cfRule>
  </conditionalFormatting>
  <conditionalFormatting sqref="E13">
    <cfRule type="expression" dxfId="105" priority="76">
      <formula>$E$13=""</formula>
    </cfRule>
  </conditionalFormatting>
  <conditionalFormatting sqref="G9:G30">
    <cfRule type="iconSet" priority="75">
      <iconSet iconSet="3Symbols2">
        <cfvo type="percent" val="0"/>
        <cfvo type="num" val="11"/>
        <cfvo type="num" val="19"/>
      </iconSet>
    </cfRule>
  </conditionalFormatting>
  <conditionalFormatting sqref="E15">
    <cfRule type="expression" dxfId="104" priority="74">
      <formula>$E$15=""</formula>
    </cfRule>
  </conditionalFormatting>
  <conditionalFormatting sqref="E16">
    <cfRule type="expression" dxfId="103" priority="73">
      <formula>$E$16=""</formula>
    </cfRule>
  </conditionalFormatting>
  <conditionalFormatting sqref="E17">
    <cfRule type="expression" dxfId="102" priority="72">
      <formula>$E$17=""</formula>
    </cfRule>
  </conditionalFormatting>
  <conditionalFormatting sqref="E18">
    <cfRule type="expression" dxfId="101" priority="71">
      <formula>$E$18=""</formula>
    </cfRule>
  </conditionalFormatting>
  <conditionalFormatting sqref="E19">
    <cfRule type="expression" dxfId="100" priority="70">
      <formula>$E$19=""</formula>
    </cfRule>
  </conditionalFormatting>
  <conditionalFormatting sqref="E21">
    <cfRule type="expression" dxfId="99" priority="69">
      <formula>$E$21=""</formula>
    </cfRule>
  </conditionalFormatting>
  <conditionalFormatting sqref="E22">
    <cfRule type="expression" dxfId="98" priority="68">
      <formula>$E$22=""</formula>
    </cfRule>
  </conditionalFormatting>
  <conditionalFormatting sqref="E26">
    <cfRule type="expression" dxfId="97" priority="67">
      <formula>$E$26=""</formula>
    </cfRule>
  </conditionalFormatting>
  <conditionalFormatting sqref="E27">
    <cfRule type="expression" dxfId="96" priority="66">
      <formula>$E$27=""</formula>
    </cfRule>
  </conditionalFormatting>
  <conditionalFormatting sqref="E28">
    <cfRule type="expression" dxfId="95" priority="65">
      <formula>$E$28=""</formula>
    </cfRule>
  </conditionalFormatting>
  <conditionalFormatting sqref="E29">
    <cfRule type="expression" dxfId="94" priority="64">
      <formula>$E$29=""</formula>
    </cfRule>
  </conditionalFormatting>
  <conditionalFormatting sqref="E30">
    <cfRule type="expression" dxfId="93" priority="63">
      <formula>$E$30=""</formula>
    </cfRule>
  </conditionalFormatting>
  <conditionalFormatting sqref="G34:G38">
    <cfRule type="iconSet" priority="62">
      <iconSet iconSet="3Symbols2">
        <cfvo type="percent" val="0"/>
        <cfvo type="num" val="11"/>
        <cfvo type="num" val="19"/>
      </iconSet>
    </cfRule>
  </conditionalFormatting>
  <conditionalFormatting sqref="G42:G43">
    <cfRule type="iconSet" priority="61">
      <iconSet iconSet="3Symbols2">
        <cfvo type="percent" val="0"/>
        <cfvo type="num" val="11"/>
        <cfvo type="num" val="19"/>
      </iconSet>
    </cfRule>
  </conditionalFormatting>
  <conditionalFormatting sqref="G44">
    <cfRule type="iconSet" priority="60">
      <iconSet iconSet="3Symbols2">
        <cfvo type="percent" val="0"/>
        <cfvo type="num" val="11"/>
        <cfvo type="num" val="19"/>
      </iconSet>
    </cfRule>
  </conditionalFormatting>
  <conditionalFormatting sqref="G45">
    <cfRule type="iconSet" priority="59">
      <iconSet iconSet="3Symbols2">
        <cfvo type="percent" val="0"/>
        <cfvo type="num" val="11"/>
        <cfvo type="num" val="19"/>
      </iconSet>
    </cfRule>
  </conditionalFormatting>
  <conditionalFormatting sqref="G46">
    <cfRule type="iconSet" priority="58">
      <iconSet iconSet="3Symbols2">
        <cfvo type="percent" val="0"/>
        <cfvo type="num" val="11"/>
        <cfvo type="num" val="19"/>
      </iconSet>
    </cfRule>
  </conditionalFormatting>
  <conditionalFormatting sqref="G47">
    <cfRule type="iconSet" priority="57">
      <iconSet iconSet="3Symbols2">
        <cfvo type="percent" val="0"/>
        <cfvo type="num" val="11"/>
        <cfvo type="num" val="19"/>
      </iconSet>
    </cfRule>
  </conditionalFormatting>
  <conditionalFormatting sqref="G48">
    <cfRule type="iconSet" priority="56">
      <iconSet iconSet="3Symbols2">
        <cfvo type="percent" val="0"/>
        <cfvo type="num" val="11"/>
        <cfvo type="num" val="19"/>
      </iconSet>
    </cfRule>
  </conditionalFormatting>
  <conditionalFormatting sqref="G49:G51">
    <cfRule type="iconSet" priority="55">
      <iconSet iconSet="3Symbols2">
        <cfvo type="percent" val="0"/>
        <cfvo type="num" val="11"/>
        <cfvo type="num" val="19"/>
      </iconSet>
    </cfRule>
  </conditionalFormatting>
  <conditionalFormatting sqref="G55">
    <cfRule type="iconSet" priority="54">
      <iconSet iconSet="3Symbols2">
        <cfvo type="percent" val="0"/>
        <cfvo type="num" val="11"/>
        <cfvo type="num" val="19"/>
      </iconSet>
    </cfRule>
  </conditionalFormatting>
  <conditionalFormatting sqref="G56">
    <cfRule type="iconSet" priority="53">
      <iconSet iconSet="3Symbols2">
        <cfvo type="percent" val="0"/>
        <cfvo type="num" val="11"/>
        <cfvo type="num" val="19"/>
      </iconSet>
    </cfRule>
  </conditionalFormatting>
  <conditionalFormatting sqref="G57">
    <cfRule type="iconSet" priority="52">
      <iconSet iconSet="3Symbols2">
        <cfvo type="percent" val="0"/>
        <cfvo type="num" val="11"/>
        <cfvo type="num" val="19"/>
      </iconSet>
    </cfRule>
  </conditionalFormatting>
  <conditionalFormatting sqref="G58">
    <cfRule type="iconSet" priority="51">
      <iconSet iconSet="3Symbols2">
        <cfvo type="percent" val="0"/>
        <cfvo type="num" val="11"/>
        <cfvo type="num" val="19"/>
      </iconSet>
    </cfRule>
  </conditionalFormatting>
  <conditionalFormatting sqref="G62:G63">
    <cfRule type="iconSet" priority="50">
      <iconSet iconSet="3Symbols2">
        <cfvo type="percent" val="0"/>
        <cfvo type="num" val="11"/>
        <cfvo type="num" val="19"/>
      </iconSet>
    </cfRule>
  </conditionalFormatting>
  <conditionalFormatting sqref="G76">
    <cfRule type="iconSet" priority="49">
      <iconSet iconSet="3Symbols2">
        <cfvo type="percent" val="0"/>
        <cfvo type="num" val="11"/>
        <cfvo type="num" val="19"/>
      </iconSet>
    </cfRule>
  </conditionalFormatting>
  <conditionalFormatting sqref="G80">
    <cfRule type="iconSet" priority="48">
      <iconSet iconSet="3Symbols2">
        <cfvo type="percent" val="0"/>
        <cfvo type="num" val="11"/>
        <cfvo type="num" val="19"/>
      </iconSet>
    </cfRule>
  </conditionalFormatting>
  <conditionalFormatting sqref="E35">
    <cfRule type="expression" dxfId="92" priority="47">
      <formula>$E$35=""</formula>
    </cfRule>
  </conditionalFormatting>
  <conditionalFormatting sqref="E36">
    <cfRule type="expression" dxfId="91" priority="46">
      <formula>$E$36=""</formula>
    </cfRule>
  </conditionalFormatting>
  <conditionalFormatting sqref="E37">
    <cfRule type="expression" dxfId="90" priority="45">
      <formula>$E$37=""</formula>
    </cfRule>
  </conditionalFormatting>
  <conditionalFormatting sqref="E38">
    <cfRule type="expression" dxfId="89" priority="44">
      <formula>$E$38=""</formula>
    </cfRule>
  </conditionalFormatting>
  <conditionalFormatting sqref="E42">
    <cfRule type="expression" dxfId="88" priority="43">
      <formula>$E$42=""</formula>
    </cfRule>
  </conditionalFormatting>
  <conditionalFormatting sqref="E44">
    <cfRule type="expression" dxfId="87" priority="42">
      <formula>$E$44=""</formula>
    </cfRule>
  </conditionalFormatting>
  <conditionalFormatting sqref="E45">
    <cfRule type="expression" dxfId="86" priority="41">
      <formula>$E$45=""</formula>
    </cfRule>
  </conditionalFormatting>
  <conditionalFormatting sqref="E46">
    <cfRule type="expression" dxfId="85" priority="40">
      <formula>$E$46=""</formula>
    </cfRule>
  </conditionalFormatting>
  <conditionalFormatting sqref="E47">
    <cfRule type="expression" dxfId="84" priority="39">
      <formula>$E$47=""</formula>
    </cfRule>
  </conditionalFormatting>
  <conditionalFormatting sqref="E48">
    <cfRule type="expression" dxfId="83" priority="38">
      <formula>$E$48=""</formula>
    </cfRule>
  </conditionalFormatting>
  <conditionalFormatting sqref="E49">
    <cfRule type="expression" dxfId="82" priority="37">
      <formula>$E$49=""</formula>
    </cfRule>
  </conditionalFormatting>
  <conditionalFormatting sqref="E55">
    <cfRule type="expression" dxfId="81" priority="36">
      <formula>$E$55=""</formula>
    </cfRule>
  </conditionalFormatting>
  <conditionalFormatting sqref="E56">
    <cfRule type="expression" dxfId="80" priority="35">
      <formula>$E$56=""</formula>
    </cfRule>
  </conditionalFormatting>
  <conditionalFormatting sqref="E57">
    <cfRule type="expression" dxfId="79" priority="34">
      <formula>$E$57=""</formula>
    </cfRule>
  </conditionalFormatting>
  <conditionalFormatting sqref="E58">
    <cfRule type="expression" dxfId="78" priority="33">
      <formula>$E$58=""</formula>
    </cfRule>
  </conditionalFormatting>
  <conditionalFormatting sqref="E62">
    <cfRule type="expression" dxfId="77" priority="32">
      <formula>$E$62=""</formula>
    </cfRule>
  </conditionalFormatting>
  <conditionalFormatting sqref="E64">
    <cfRule type="expression" dxfId="76" priority="31">
      <formula>$E$64=""</formula>
    </cfRule>
  </conditionalFormatting>
  <conditionalFormatting sqref="E76">
    <cfRule type="expression" dxfId="75" priority="30">
      <formula>$E$76=""</formula>
    </cfRule>
  </conditionalFormatting>
  <conditionalFormatting sqref="E80">
    <cfRule type="expression" dxfId="74" priority="29">
      <formula>$E$80=""</formula>
    </cfRule>
  </conditionalFormatting>
  <conditionalFormatting sqref="H35">
    <cfRule type="expression" dxfId="73" priority="28">
      <formula>$E$35="No"</formula>
    </cfRule>
  </conditionalFormatting>
  <conditionalFormatting sqref="J35">
    <cfRule type="expression" dxfId="72" priority="27">
      <formula>$E$35="No"</formula>
    </cfRule>
  </conditionalFormatting>
  <conditionalFormatting sqref="H37">
    <cfRule type="expression" dxfId="71" priority="26">
      <formula>$E$37="No"</formula>
    </cfRule>
  </conditionalFormatting>
  <conditionalFormatting sqref="J37">
    <cfRule type="expression" dxfId="70" priority="25">
      <formula>$E$37="No"</formula>
    </cfRule>
  </conditionalFormatting>
  <conditionalFormatting sqref="H43">
    <cfRule type="expression" dxfId="69" priority="24">
      <formula>$E$43="No"</formula>
    </cfRule>
  </conditionalFormatting>
  <conditionalFormatting sqref="J43">
    <cfRule type="expression" dxfId="68" priority="23">
      <formula>$E$43="No"</formula>
    </cfRule>
  </conditionalFormatting>
  <conditionalFormatting sqref="E43">
    <cfRule type="expression" dxfId="67" priority="22">
      <formula>$E$43=""</formula>
    </cfRule>
  </conditionalFormatting>
  <conditionalFormatting sqref="E50">
    <cfRule type="expression" dxfId="66" priority="21">
      <formula>$E$50=""</formula>
    </cfRule>
  </conditionalFormatting>
  <conditionalFormatting sqref="E51">
    <cfRule type="expression" dxfId="65" priority="20">
      <formula>$E$51=""</formula>
    </cfRule>
  </conditionalFormatting>
  <conditionalFormatting sqref="E63">
    <cfRule type="expression" dxfId="64" priority="19">
      <formula>$E$63=""</formula>
    </cfRule>
  </conditionalFormatting>
  <conditionalFormatting sqref="E67">
    <cfRule type="expression" dxfId="63" priority="18">
      <formula>$E$67=""</formula>
    </cfRule>
  </conditionalFormatting>
  <conditionalFormatting sqref="E68">
    <cfRule type="expression" dxfId="62" priority="17">
      <formula>$E$68=""</formula>
    </cfRule>
  </conditionalFormatting>
  <conditionalFormatting sqref="E69">
    <cfRule type="expression" dxfId="61" priority="16">
      <formula>$E$69=""</formula>
    </cfRule>
  </conditionalFormatting>
  <conditionalFormatting sqref="E70">
    <cfRule type="expression" dxfId="60" priority="15">
      <formula>$E$70=""</formula>
    </cfRule>
  </conditionalFormatting>
  <conditionalFormatting sqref="E71">
    <cfRule type="expression" dxfId="59" priority="14">
      <formula>$E$71=""</formula>
    </cfRule>
  </conditionalFormatting>
  <conditionalFormatting sqref="E72">
    <cfRule type="expression" dxfId="58" priority="13">
      <formula>$E$72=""</formula>
    </cfRule>
  </conditionalFormatting>
  <conditionalFormatting sqref="E73">
    <cfRule type="expression" dxfId="57" priority="12">
      <formula>$E$73=""</formula>
    </cfRule>
  </conditionalFormatting>
  <conditionalFormatting sqref="E34">
    <cfRule type="expression" dxfId="56" priority="11">
      <formula>$E$34=""</formula>
    </cfRule>
  </conditionalFormatting>
  <conditionalFormatting sqref="E24">
    <cfRule type="expression" dxfId="55" priority="10">
      <formula>$E$24=""</formula>
    </cfRule>
  </conditionalFormatting>
  <conditionalFormatting sqref="E65">
    <cfRule type="expression" dxfId="54" priority="9">
      <formula>$E$65=""</formula>
    </cfRule>
  </conditionalFormatting>
  <conditionalFormatting sqref="E66">
    <cfRule type="expression" dxfId="53" priority="8">
      <formula>$E$66=""</formula>
    </cfRule>
  </conditionalFormatting>
  <conditionalFormatting sqref="G64:G73">
    <cfRule type="iconSet" priority="82">
      <iconSet iconSet="3Symbols2">
        <cfvo type="percent" val="0"/>
        <cfvo type="num" val="11"/>
        <cfvo type="num" val="19"/>
      </iconSet>
    </cfRule>
  </conditionalFormatting>
  <conditionalFormatting sqref="E23">
    <cfRule type="expression" dxfId="52" priority="7">
      <formula>$E$23=""</formula>
    </cfRule>
  </conditionalFormatting>
  <conditionalFormatting sqref="E25">
    <cfRule type="expression" dxfId="51" priority="6">
      <formula>$E$25=""</formula>
    </cfRule>
  </conditionalFormatting>
  <conditionalFormatting sqref="E14">
    <cfRule type="expression" dxfId="50" priority="5">
      <formula>$E$14=""</formula>
    </cfRule>
  </conditionalFormatting>
  <conditionalFormatting sqref="E11">
    <cfRule type="expression" dxfId="49" priority="4">
      <formula>$E$11=""</formula>
    </cfRule>
  </conditionalFormatting>
  <conditionalFormatting sqref="G2">
    <cfRule type="iconSet" priority="3">
      <iconSet iconSet="3Symbols2">
        <cfvo type="percent" val="0"/>
        <cfvo type="num" val="11"/>
        <cfvo type="num" val="20"/>
      </iconSet>
    </cfRule>
  </conditionalFormatting>
  <conditionalFormatting sqref="G3">
    <cfRule type="iconSet" priority="2">
      <iconSet iconSet="3Symbols2">
        <cfvo type="percent" val="0"/>
        <cfvo type="num" val="11"/>
        <cfvo type="num" val="20"/>
      </iconSet>
    </cfRule>
  </conditionalFormatting>
  <conditionalFormatting sqref="G4">
    <cfRule type="iconSet" priority="1">
      <iconSet iconSet="3Symbols2">
        <cfvo type="percent" val="0"/>
        <cfvo type="num" val="10"/>
        <cfvo type="num" val="20"/>
      </iconSet>
    </cfRule>
  </conditionalFormatting>
  <dataValidations count="17">
    <dataValidation type="list" allowBlank="1" showInputMessage="1" showErrorMessage="1" sqref="E68">
      <formula1>"http,Socks4,Socks5"</formula1>
    </dataValidation>
    <dataValidation type="list" allowBlank="1" showInputMessage="1" showErrorMessage="1" prompt="Please see the Secure Service Architecture white paper which explains key security features that are important to developing an understanding of how diagnostic information is collected and transmitted and how remote service connections are secured._x000a_" sqref="E62:E63">
      <formula1>"Yes,No"</formula1>
    </dataValidation>
    <dataValidation type="list" allowBlank="1" showInputMessage="1" showErrorMessage="1" sqref="E26">
      <formula1>"BAFS,BOSS"</formula1>
    </dataValidation>
    <dataValidation type="list" allowBlank="1" showInputMessage="1" showErrorMessage="1" prompt="Please see the Storeserv 7000 User Guide for a list of HP approved vendor racks." sqref="E34">
      <formula1>"Yes,No"</formula1>
    </dataValidation>
    <dataValidation type="list" allowBlank="1" showInputMessage="1" showErrorMessage="1" sqref="E21">
      <formula1>"HP Order,Partner Order"</formula1>
    </dataValidation>
    <dataValidation type="list" allowBlank="1" showInputMessage="1" showErrorMessage="1" sqref="E47">
      <formula1>"10 Mbit/s,100 Mbit/s,1000 Mbit/s,auto"</formula1>
    </dataValidation>
    <dataValidation type="list" allowBlank="1" showInputMessage="1" showErrorMessage="1" sqref="E48">
      <formula1>"full Duplex,half Duplex"</formula1>
    </dataValidation>
    <dataValidation type="list" allowBlank="1" showInputMessage="1" showErrorMessage="1" prompt="Factory integrated racks: Each rack requires 4 outlets, 2 if only the bottom half of rack is populated._x000a__x000a_Customer provided racks:_x000a_Node chassis requires (2) C13/C14 outlets_x000a_Drive chassis requires (2) C13/C14 outlets_x000a__x000a_Physical SP requires (1) C13/C14 outlet" sqref="E35">
      <formula1>"Yes,No"</formula1>
    </dataValidation>
    <dataValidation type="list" allowBlank="1" showInputMessage="1" showErrorMessage="1" prompt="This space is required for service and allows the removal/replacement of hardware components." sqref="E38">
      <formula1>"Yes,No"</formula1>
    </dataValidation>
    <dataValidation type="list" allowBlank="1" showInputMessage="1" showErrorMessage="1" prompt="A Ethernet network drop is required for EACH node. All nodes will share a single/clustered IP address. Also a physical SP requires a Ethernet network drop and will need its own IP address. Preferably both IP addresses should be on the same subnet." sqref="E37">
      <formula1>"Yes,No"</formula1>
    </dataValidation>
    <dataValidation type="list" allowBlank="1" showInputMessage="1" showErrorMessage="1" prompt="It is manditory that all systems be installed with redundant power. This generally means that all used power outlets be fed from 2 seperate sources. Please let us know if you have any questions regarding redundant power requirements." sqref="E36">
      <formula1>"Yes,No"</formula1>
    </dataValidation>
    <dataValidation allowBlank="1" showInputMessage="1" showErrorMessage="1" prompt="This is the adress for the Service Processor. 1 IP address is required." sqref="E44"/>
    <dataValidation allowBlank="1" showInputMessage="1" showErrorMessage="1" prompt="This is the IP address the array/nodes will use. Only 1 IP adress is required" sqref="E56"/>
    <dataValidation allowBlank="1" showInputMessage="1" showErrorMessage="1" prompt="This can be up to 32 characters" sqref="E55"/>
    <dataValidation type="list" allowBlank="1" showInputMessage="1" showErrorMessage="1" sqref="E28">
      <formula1>"2,4"</formula1>
    </dataValidation>
    <dataValidation type="list" allowBlank="1" showInputMessage="1" showErrorMessage="1" sqref="E42">
      <formula1>"Virtual,Physical"</formula1>
    </dataValidation>
    <dataValidation type="list" allowBlank="1" showInputMessage="1" showErrorMessage="1" sqref="E71 E80 E43 E49 E64 E67">
      <formula1>"Yes,No"</formula1>
    </dataValidation>
  </dataValidations>
  <hyperlinks>
    <hyperlink ref="C80" location="'Customer obligations'!A3" display="Have you completed all items in the customer obligations tab"/>
  </hyperlinks>
  <pageMargins left="0.25" right="0.25" top="0.75" bottom="0.75" header="0.3" footer="0.3"/>
  <pageSetup paperSize="9" orientation="portrait" r:id="rId1"/>
  <headerFooter>
    <oddFooter>&amp;CVersion 2.3.2</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2:D56"/>
  <sheetViews>
    <sheetView showGridLines="0" showRowColHeaders="0" showRuler="0" zoomScale="120" zoomScaleNormal="120" workbookViewId="0">
      <selection activeCell="A51" sqref="A51:D51"/>
    </sheetView>
  </sheetViews>
  <sheetFormatPr defaultRowHeight="15" x14ac:dyDescent="0.25"/>
  <cols>
    <col min="1" max="1" width="64.140625" customWidth="1"/>
  </cols>
  <sheetData>
    <row r="2" spans="1:3" x14ac:dyDescent="0.25">
      <c r="A2" s="130" t="s">
        <v>96</v>
      </c>
      <c r="B2" s="131"/>
      <c r="C2" s="131"/>
    </row>
    <row r="3" spans="1:3" ht="16.5" x14ac:dyDescent="0.3">
      <c r="A3" s="132" t="s">
        <v>113</v>
      </c>
      <c r="B3" s="148"/>
      <c r="C3" s="148"/>
    </row>
    <row r="5" spans="1:3" ht="15" customHeight="1" x14ac:dyDescent="0.25">
      <c r="A5" s="67"/>
    </row>
    <row r="9" spans="1:3" x14ac:dyDescent="0.25">
      <c r="A9" s="68"/>
    </row>
    <row r="10" spans="1:3" x14ac:dyDescent="0.25">
      <c r="A10" s="68"/>
    </row>
    <row r="11" spans="1:3" x14ac:dyDescent="0.25">
      <c r="A11" s="68"/>
    </row>
    <row r="12" spans="1:3" x14ac:dyDescent="0.25">
      <c r="A12" s="68"/>
    </row>
    <row r="13" spans="1:3" x14ac:dyDescent="0.25">
      <c r="A13" s="68"/>
    </row>
    <row r="14" spans="1:3" x14ac:dyDescent="0.25">
      <c r="A14" s="68"/>
    </row>
    <row r="15" spans="1:3" x14ac:dyDescent="0.25">
      <c r="A15" s="68"/>
    </row>
    <row r="16" spans="1:3" x14ac:dyDescent="0.25">
      <c r="A16" s="68"/>
    </row>
    <row r="17" spans="1:1" x14ac:dyDescent="0.25">
      <c r="A17" s="68"/>
    </row>
    <row r="18" spans="1:1" x14ac:dyDescent="0.25">
      <c r="A18" s="68"/>
    </row>
    <row r="51" spans="1:4" x14ac:dyDescent="0.25">
      <c r="A51" s="149" t="s">
        <v>127</v>
      </c>
      <c r="B51" s="149"/>
      <c r="C51" s="149"/>
      <c r="D51" s="149"/>
    </row>
    <row r="52" spans="1:4" x14ac:dyDescent="0.25">
      <c r="A52" s="88"/>
      <c r="B52" s="91"/>
      <c r="C52" s="91"/>
      <c r="D52" s="91"/>
    </row>
    <row r="53" spans="1:4" x14ac:dyDescent="0.25">
      <c r="A53" s="150" t="s">
        <v>140</v>
      </c>
      <c r="B53" s="151"/>
      <c r="C53" s="151"/>
      <c r="D53" s="151"/>
    </row>
    <row r="56" spans="1:4" x14ac:dyDescent="0.25">
      <c r="B56" s="69"/>
    </row>
  </sheetData>
  <sheetProtection password="8121" sheet="1" objects="1" scenarios="1" selectLockedCells="1"/>
  <mergeCells count="4">
    <mergeCell ref="A2:C2"/>
    <mergeCell ref="A3:C3"/>
    <mergeCell ref="A51:D51"/>
    <mergeCell ref="A53:D53"/>
  </mergeCells>
  <hyperlinks>
    <hyperlink ref="A51" r:id="rId1" display="( For additional information please go to the Product home page )"/>
    <hyperlink ref="A51:D51" r:id="rId2" display="For additional information please go to the Product home page"/>
    <hyperlink ref="A53:D53" location="'Site Readiness and Pre Checks'!E80" display="Click to go back to the Site Readiness and Pre Checks Tab"/>
  </hyperlinks>
  <pageMargins left="0.7" right="0.7" top="0.75" bottom="0.75" header="0.3" footer="0.3"/>
  <pageSetup scale="88" orientation="portrait" r:id="rId3"/>
  <headerFooter>
    <oddFooter xml:space="preserve">&amp;C
</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59999389629810485"/>
  </sheetPr>
  <dimension ref="A2:L132"/>
  <sheetViews>
    <sheetView showGridLines="0" showRowColHeaders="0" zoomScale="120" zoomScaleNormal="120" workbookViewId="0">
      <selection activeCell="C17" sqref="C17"/>
    </sheetView>
  </sheetViews>
  <sheetFormatPr defaultRowHeight="13.5" x14ac:dyDescent="0.2"/>
  <cols>
    <col min="1" max="1" width="8.42578125" style="1" customWidth="1"/>
    <col min="2" max="2" width="0.85546875" style="2" customWidth="1"/>
    <col min="3" max="3" width="49" style="20" customWidth="1"/>
    <col min="4" max="4" width="0.5703125" style="2" customWidth="1"/>
    <col min="5" max="5" width="42.5703125" style="62" customWidth="1"/>
    <col min="6" max="6" width="1.28515625" style="2" customWidth="1"/>
    <col min="7" max="16384" width="9.140625" style="2"/>
  </cols>
  <sheetData>
    <row r="2" spans="3:5" ht="15" x14ac:dyDescent="0.2">
      <c r="C2" s="158" t="s">
        <v>101</v>
      </c>
      <c r="D2" s="158"/>
      <c r="E2" s="158"/>
    </row>
    <row r="3" spans="3:5" ht="15" x14ac:dyDescent="0.2">
      <c r="C3" s="50"/>
      <c r="D3" s="50"/>
      <c r="E3" s="54"/>
    </row>
    <row r="4" spans="3:5" ht="15" x14ac:dyDescent="0.2">
      <c r="C4" s="50"/>
      <c r="D4" s="50"/>
      <c r="E4" s="54"/>
    </row>
    <row r="5" spans="3:5" ht="14.25" x14ac:dyDescent="0.2">
      <c r="C5" s="79" t="s">
        <v>102</v>
      </c>
      <c r="D5" s="79"/>
      <c r="E5" s="105" t="str">
        <f>IF('Site Readiness and Pre Checks'!E22="","",'Site Readiness and Pre Checks'!E22)</f>
        <v/>
      </c>
    </row>
    <row r="6" spans="3:5" ht="14.25" x14ac:dyDescent="0.2">
      <c r="C6" s="16"/>
      <c r="D6" s="16"/>
      <c r="E6" s="55"/>
    </row>
    <row r="7" spans="3:5" ht="14.25" x14ac:dyDescent="0.2">
      <c r="C7" s="79" t="s">
        <v>126</v>
      </c>
      <c r="D7" s="79"/>
      <c r="E7" s="80" t="str">
        <f>IF('Site Readiness and Pre Checks'!E26="","",'Site Readiness and Pre Checks'!E26)</f>
        <v/>
      </c>
    </row>
    <row r="8" spans="3:5" ht="14.25" x14ac:dyDescent="0.2">
      <c r="C8" s="16" t="s">
        <v>155</v>
      </c>
      <c r="D8" s="16"/>
      <c r="E8" s="55" t="str">
        <f>IF('Site Readiness and Pre Checks'!E27="","",'Site Readiness and Pre Checks'!E27)</f>
        <v/>
      </c>
    </row>
    <row r="9" spans="3:5" ht="14.25" x14ac:dyDescent="0.2">
      <c r="C9" s="79" t="s">
        <v>118</v>
      </c>
      <c r="D9" s="79"/>
      <c r="E9" s="80" t="str">
        <f>IF('Site Readiness and Pre Checks'!E28="","",'Site Readiness and Pre Checks'!E28)</f>
        <v/>
      </c>
    </row>
    <row r="10" spans="3:5" ht="14.25" x14ac:dyDescent="0.2">
      <c r="C10" s="16" t="s">
        <v>119</v>
      </c>
      <c r="D10" s="16"/>
      <c r="E10" s="55" t="str">
        <f>IF('Site Readiness and Pre Checks'!E29="","",'Site Readiness and Pre Checks'!E29)</f>
        <v/>
      </c>
    </row>
    <row r="11" spans="3:5" ht="14.25" x14ac:dyDescent="0.2">
      <c r="C11" s="79" t="s">
        <v>72</v>
      </c>
      <c r="D11" s="79"/>
      <c r="E11" s="80" t="str">
        <f>IF('Site Readiness and Pre Checks'!E30="","",'Site Readiness and Pre Checks'!E30)</f>
        <v/>
      </c>
    </row>
    <row r="12" spans="3:5" ht="14.25" x14ac:dyDescent="0.2">
      <c r="C12" s="16" t="s">
        <v>106</v>
      </c>
      <c r="D12" s="16"/>
      <c r="E12" s="55" t="str">
        <f>IF('Site Readiness and Pre Checks'!E42="","",'Site Readiness and Pre Checks'!E42)</f>
        <v/>
      </c>
    </row>
    <row r="13" spans="3:5" ht="14.25" x14ac:dyDescent="0.2">
      <c r="C13" s="79"/>
      <c r="D13" s="79"/>
      <c r="E13" s="80"/>
    </row>
    <row r="14" spans="3:5" ht="14.25" x14ac:dyDescent="0.2">
      <c r="C14" s="103" t="s">
        <v>104</v>
      </c>
      <c r="D14" s="53"/>
      <c r="E14" s="114" t="str">
        <f>IF('Site Readiness and Pre Checks'!E9="","",'Site Readiness and Pre Checks'!E9)</f>
        <v/>
      </c>
    </row>
    <row r="15" spans="3:5" ht="14.25" x14ac:dyDescent="0.2">
      <c r="C15" s="79" t="s">
        <v>103</v>
      </c>
      <c r="D15" s="79"/>
      <c r="E15" s="80" t="str">
        <f>IF('Site Readiness and Pre Checks'!E10="","",'Site Readiness and Pre Checks'!E10)</f>
        <v/>
      </c>
    </row>
    <row r="16" spans="3:5" ht="14.25" x14ac:dyDescent="0.2">
      <c r="C16" s="2"/>
      <c r="D16" s="16"/>
      <c r="E16" s="55"/>
    </row>
    <row r="17" spans="3:5" ht="14.25" x14ac:dyDescent="0.2">
      <c r="C17" s="79" t="s">
        <v>107</v>
      </c>
      <c r="D17" s="79"/>
      <c r="E17" s="89" t="str">
        <f>IF('Site Readiness and Pre Checks'!E15="","",'Site Readiness and Pre Checks'!E15)</f>
        <v/>
      </c>
    </row>
    <row r="18" spans="3:5" ht="14.25" x14ac:dyDescent="0.2">
      <c r="C18" s="16"/>
      <c r="D18" s="16"/>
      <c r="E18" s="104" t="str">
        <f>IF('Site Readiness and Pre Checks'!E16="","",'Site Readiness and Pre Checks'!E16)</f>
        <v/>
      </c>
    </row>
    <row r="19" spans="3:5" ht="14.25" x14ac:dyDescent="0.2">
      <c r="C19" s="16"/>
      <c r="D19" s="16"/>
      <c r="E19" s="89" t="str">
        <f>IF('Site Readiness and Pre Checks'!E17="","",'Site Readiness and Pre Checks'!E17)</f>
        <v/>
      </c>
    </row>
    <row r="20" spans="3:5" ht="14.25" x14ac:dyDescent="0.2">
      <c r="C20" s="16"/>
      <c r="D20" s="16"/>
      <c r="E20" s="90" t="str">
        <f>IF('Site Readiness and Pre Checks'!E18="","",'Site Readiness and Pre Checks'!E18)</f>
        <v/>
      </c>
    </row>
    <row r="21" spans="3:5" ht="14.25" x14ac:dyDescent="0.2">
      <c r="E21" s="89" t="str">
        <f>IF('Site Readiness and Pre Checks'!E19="","",'Site Readiness and Pre Checks'!E19)</f>
        <v/>
      </c>
    </row>
    <row r="23" spans="3:5" ht="14.25" x14ac:dyDescent="0.2">
      <c r="C23" s="16"/>
      <c r="D23" s="16"/>
      <c r="E23" s="80"/>
    </row>
    <row r="24" spans="3:5" ht="14.25" x14ac:dyDescent="0.2">
      <c r="C24" s="16" t="s">
        <v>105</v>
      </c>
      <c r="D24" s="16"/>
      <c r="E24" s="90" t="str">
        <f>IF('Site Readiness and Pre Checks'!E12="","",'Site Readiness and Pre Checks'!E12)</f>
        <v/>
      </c>
    </row>
    <row r="25" spans="3:5" ht="14.25" x14ac:dyDescent="0.2">
      <c r="C25" s="79" t="s">
        <v>97</v>
      </c>
      <c r="D25" s="79"/>
      <c r="E25" s="89" t="str">
        <f>IF('Site Readiness and Pre Checks'!E13="","",'Site Readiness and Pre Checks'!E13)</f>
        <v/>
      </c>
    </row>
    <row r="26" spans="3:5" ht="14.25" x14ac:dyDescent="0.2">
      <c r="C26" s="16"/>
      <c r="D26" s="16"/>
      <c r="E26" s="55"/>
    </row>
    <row r="27" spans="3:5" ht="12.75" x14ac:dyDescent="0.2">
      <c r="C27" s="159" t="s">
        <v>0</v>
      </c>
      <c r="D27" s="159"/>
      <c r="E27" s="159"/>
    </row>
    <row r="28" spans="3:5" ht="12.75" x14ac:dyDescent="0.2">
      <c r="D28" s="20"/>
      <c r="E28" s="56"/>
    </row>
    <row r="29" spans="3:5" ht="12.75" x14ac:dyDescent="0.2">
      <c r="C29" s="160" t="s">
        <v>108</v>
      </c>
      <c r="D29" s="160"/>
      <c r="E29" s="160"/>
    </row>
    <row r="30" spans="3:5" x14ac:dyDescent="0.2">
      <c r="C30" s="23"/>
      <c r="D30" s="5"/>
      <c r="E30" s="57"/>
    </row>
    <row r="31" spans="3:5" x14ac:dyDescent="0.2">
      <c r="C31" s="81" t="s">
        <v>15</v>
      </c>
      <c r="D31" s="3"/>
      <c r="E31" s="58"/>
    </row>
    <row r="32" spans="3:5" x14ac:dyDescent="0.2">
      <c r="D32" s="3"/>
      <c r="E32" s="58"/>
    </row>
    <row r="33" spans="1:5" x14ac:dyDescent="0.2">
      <c r="A33" s="1" t="s">
        <v>3</v>
      </c>
      <c r="C33" s="20" t="s">
        <v>4</v>
      </c>
      <c r="D33" s="3"/>
      <c r="E33" s="58" t="s">
        <v>0</v>
      </c>
    </row>
    <row r="34" spans="1:5" x14ac:dyDescent="0.2">
      <c r="A34" s="83"/>
      <c r="D34" s="82"/>
      <c r="E34" s="58"/>
    </row>
    <row r="35" spans="1:5" ht="27.75" customHeight="1" x14ac:dyDescent="0.2">
      <c r="A35" s="83"/>
      <c r="C35" s="161" t="s">
        <v>125</v>
      </c>
      <c r="D35" s="134"/>
      <c r="E35" s="134"/>
    </row>
    <row r="37" spans="1:5" ht="27.75" customHeight="1" x14ac:dyDescent="0.2">
      <c r="C37" s="156" t="s">
        <v>27</v>
      </c>
      <c r="D37" s="156"/>
      <c r="E37" s="156"/>
    </row>
    <row r="38" spans="1:5" x14ac:dyDescent="0.2">
      <c r="C38" s="18"/>
      <c r="D38" s="4"/>
      <c r="E38" s="59"/>
    </row>
    <row r="39" spans="1:5" x14ac:dyDescent="0.2">
      <c r="A39" s="1" t="s">
        <v>1</v>
      </c>
      <c r="C39" s="18" t="s">
        <v>2</v>
      </c>
      <c r="D39" s="4"/>
      <c r="E39" s="59"/>
    </row>
    <row r="41" spans="1:5" x14ac:dyDescent="0.2">
      <c r="C41" s="17" t="s">
        <v>28</v>
      </c>
      <c r="E41" s="93" t="str">
        <f>IF('Site Readiness and Pre Checks'!E25="","",'Site Readiness and Pre Checks'!E25)</f>
        <v/>
      </c>
    </row>
    <row r="42" spans="1:5" x14ac:dyDescent="0.2">
      <c r="C42" s="17" t="s">
        <v>29</v>
      </c>
      <c r="E42" s="93"/>
    </row>
    <row r="43" spans="1:5" x14ac:dyDescent="0.2">
      <c r="C43" s="17" t="s">
        <v>31</v>
      </c>
      <c r="E43" s="60" t="str">
        <f>IF('Site Readiness and Pre Checks'!E44="","",'Site Readiness and Pre Checks'!E44)</f>
        <v/>
      </c>
    </row>
    <row r="44" spans="1:5" x14ac:dyDescent="0.2">
      <c r="C44" s="17" t="s">
        <v>30</v>
      </c>
      <c r="E44" s="60" t="str">
        <f>IF('Site Readiness and Pre Checks'!E45="","",'Site Readiness and Pre Checks'!E45)</f>
        <v/>
      </c>
    </row>
    <row r="45" spans="1:5" x14ac:dyDescent="0.2">
      <c r="C45" s="17" t="s">
        <v>32</v>
      </c>
      <c r="E45" s="60" t="str">
        <f>IF('Site Readiness and Pre Checks'!E46="","",'Site Readiness and Pre Checks'!E46)</f>
        <v/>
      </c>
    </row>
    <row r="47" spans="1:5" x14ac:dyDescent="0.2">
      <c r="C47" s="17" t="s">
        <v>34</v>
      </c>
      <c r="E47" s="60" t="str">
        <f>IF('Site Readiness and Pre Checks'!E49="","",'Site Readiness and Pre Checks'!E49)</f>
        <v/>
      </c>
    </row>
    <row r="48" spans="1:5" x14ac:dyDescent="0.2">
      <c r="C48" s="17" t="s">
        <v>33</v>
      </c>
      <c r="E48" s="61" t="str">
        <f>IF('Site Readiness and Pre Checks'!E49="No","NA",IF('Site Readiness and Pre Checks'!E50="","",'Site Readiness and Pre Checks'!E50))</f>
        <v/>
      </c>
    </row>
    <row r="49" spans="1:12" x14ac:dyDescent="0.2">
      <c r="C49" s="17" t="s">
        <v>120</v>
      </c>
      <c r="E49" s="61" t="str">
        <f>IF('Site Readiness and Pre Checks'!E49="No","NA",IF('Site Readiness and Pre Checks'!E51="","",'Site Readiness and Pre Checks'!E51))</f>
        <v/>
      </c>
    </row>
    <row r="51" spans="1:12" x14ac:dyDescent="0.2">
      <c r="C51" s="17" t="s">
        <v>36</v>
      </c>
      <c r="E51" s="60" t="str">
        <f>IF('Site Readiness and Pre Checks'!E47="","",'Site Readiness and Pre Checks'!E47)</f>
        <v/>
      </c>
    </row>
    <row r="52" spans="1:12" x14ac:dyDescent="0.2">
      <c r="C52" s="17" t="s">
        <v>37</v>
      </c>
      <c r="E52" s="60" t="str">
        <f>IF('Site Readiness and Pre Checks'!E48="","",'Site Readiness and Pre Checks'!E48)</f>
        <v/>
      </c>
    </row>
    <row r="53" spans="1:12" x14ac:dyDescent="0.2">
      <c r="C53" s="18"/>
    </row>
    <row r="54" spans="1:12" x14ac:dyDescent="0.2">
      <c r="A54" s="1" t="s">
        <v>5</v>
      </c>
      <c r="C54" s="20" t="s">
        <v>6</v>
      </c>
    </row>
    <row r="55" spans="1:12" x14ac:dyDescent="0.2">
      <c r="H55" s="152" t="s">
        <v>174</v>
      </c>
      <c r="I55" s="153"/>
      <c r="J55" s="153"/>
      <c r="K55" s="153"/>
      <c r="L55" s="153"/>
    </row>
    <row r="56" spans="1:12" x14ac:dyDescent="0.2">
      <c r="C56" s="17" t="s">
        <v>38</v>
      </c>
      <c r="E56" s="26" t="str">
        <f>IF(calc!K51=0,"Turn OFF HQ communication",IF(calc!K51=1,"Set outbound HQ communication only","Set bi-directional HQ communication"))</f>
        <v>Turn OFF HQ communication</v>
      </c>
      <c r="H56" s="153"/>
      <c r="I56" s="153"/>
      <c r="J56" s="153"/>
      <c r="K56" s="153"/>
      <c r="L56" s="153"/>
    </row>
    <row r="57" spans="1:12" x14ac:dyDescent="0.2">
      <c r="H57" s="153"/>
      <c r="I57" s="153"/>
      <c r="J57" s="153"/>
      <c r="K57" s="153"/>
      <c r="L57" s="153"/>
    </row>
    <row r="58" spans="1:12" x14ac:dyDescent="0.2">
      <c r="C58" s="17" t="s">
        <v>39</v>
      </c>
      <c r="E58" s="60" t="str">
        <f>IF('Site Readiness and Pre Checks'!E67="","",'Site Readiness and Pre Checks'!E67)</f>
        <v/>
      </c>
    </row>
    <row r="59" spans="1:12" x14ac:dyDescent="0.2">
      <c r="C59" s="17" t="s">
        <v>40</v>
      </c>
      <c r="E59" s="61" t="str">
        <f>IF('Site Readiness and Pre Checks'!E67="No","NA",IF('Site Readiness and Pre Checks'!E68="","",'Site Readiness and Pre Checks'!E68))</f>
        <v/>
      </c>
    </row>
    <row r="60" spans="1:12" x14ac:dyDescent="0.2">
      <c r="C60" s="17" t="s">
        <v>41</v>
      </c>
      <c r="E60" s="61" t="str">
        <f>IF('Site Readiness and Pre Checks'!E67="No","NA",IF('Site Readiness and Pre Checks'!E69="","",'Site Readiness and Pre Checks'!E69))</f>
        <v/>
      </c>
    </row>
    <row r="61" spans="1:12" x14ac:dyDescent="0.2">
      <c r="C61" s="17" t="s">
        <v>42</v>
      </c>
      <c r="E61" s="61" t="str">
        <f>IF('Site Readiness and Pre Checks'!E67="No","NA",IF('Site Readiness and Pre Checks'!E70="","",'Site Readiness and Pre Checks'!E70))</f>
        <v/>
      </c>
    </row>
    <row r="62" spans="1:12" x14ac:dyDescent="0.2">
      <c r="C62" s="17" t="s">
        <v>43</v>
      </c>
      <c r="E62" s="61" t="str">
        <f>IF('Site Readiness and Pre Checks'!E67="No","NA",IF('Site Readiness and Pre Checks'!E71="","",'Site Readiness and Pre Checks'!E71))</f>
        <v/>
      </c>
    </row>
    <row r="63" spans="1:12" x14ac:dyDescent="0.2">
      <c r="C63" s="17" t="s">
        <v>44</v>
      </c>
      <c r="E63" s="61" t="str">
        <f>IF('Site Readiness and Pre Checks'!E67="No","NA",IF('Site Readiness and Pre Checks'!E71="No","NA",IF('Site Readiness and Pre Checks'!E72="","",'Site Readiness and Pre Checks'!E72)))</f>
        <v/>
      </c>
    </row>
    <row r="64" spans="1:12" x14ac:dyDescent="0.2">
      <c r="C64" s="17" t="s">
        <v>45</v>
      </c>
      <c r="E64" s="61" t="str">
        <f>IF('Site Readiness and Pre Checks'!E67="No","NA",IF('Site Readiness and Pre Checks'!E71="No","NA",IF('Site Readiness and Pre Checks'!E73="","",'Site Readiness and Pre Checks'!E73)))</f>
        <v/>
      </c>
    </row>
    <row r="65" spans="1:5" x14ac:dyDescent="0.2">
      <c r="C65" s="17" t="s">
        <v>46</v>
      </c>
      <c r="E65" s="61" t="str">
        <f>IF('Site Readiness and Pre Checks'!E67="No","NA",IF('Site Readiness and Pre Checks'!E71="No","NA",IF('Site Readiness and Pre Checks'!E73="","",'Site Readiness and Pre Checks'!E73)))</f>
        <v/>
      </c>
    </row>
    <row r="66" spans="1:5" x14ac:dyDescent="0.2">
      <c r="C66" s="18"/>
    </row>
    <row r="67" spans="1:5" x14ac:dyDescent="0.2">
      <c r="A67" s="1" t="s">
        <v>7</v>
      </c>
      <c r="C67" s="20" t="s">
        <v>8</v>
      </c>
    </row>
    <row r="69" spans="1:5" x14ac:dyDescent="0.2">
      <c r="C69" s="17" t="s">
        <v>50</v>
      </c>
      <c r="E69" s="61"/>
    </row>
    <row r="70" spans="1:5" x14ac:dyDescent="0.2">
      <c r="C70" s="17" t="s">
        <v>47</v>
      </c>
      <c r="E70" s="78" t="str">
        <f>IF('Site Readiness and Pre Checks'!E76="","",'Site Readiness and Pre Checks'!E76)</f>
        <v/>
      </c>
    </row>
    <row r="72" spans="1:5" x14ac:dyDescent="0.2">
      <c r="C72" s="17" t="s">
        <v>48</v>
      </c>
      <c r="E72" s="78"/>
    </row>
    <row r="73" spans="1:5" x14ac:dyDescent="0.2">
      <c r="C73" s="17" t="s">
        <v>49</v>
      </c>
      <c r="E73" s="78"/>
    </row>
    <row r="75" spans="1:5" x14ac:dyDescent="0.2">
      <c r="A75" s="1" t="s">
        <v>9</v>
      </c>
      <c r="C75" s="20" t="s">
        <v>10</v>
      </c>
    </row>
    <row r="77" spans="1:5" ht="27.75" customHeight="1" x14ac:dyDescent="0.2">
      <c r="C77" s="156" t="s">
        <v>51</v>
      </c>
      <c r="D77" s="156"/>
      <c r="E77" s="156"/>
    </row>
    <row r="79" spans="1:5" x14ac:dyDescent="0.2">
      <c r="A79" s="1" t="s">
        <v>11</v>
      </c>
      <c r="C79" s="20" t="s">
        <v>12</v>
      </c>
    </row>
    <row r="81" spans="1:5" ht="15" customHeight="1" x14ac:dyDescent="0.2">
      <c r="C81" s="156" t="s">
        <v>52</v>
      </c>
      <c r="D81" s="156"/>
      <c r="E81" s="156"/>
    </row>
    <row r="83" spans="1:5" x14ac:dyDescent="0.2">
      <c r="A83" s="1" t="s">
        <v>13</v>
      </c>
      <c r="C83" s="20" t="s">
        <v>14</v>
      </c>
    </row>
    <row r="85" spans="1:5" ht="54.75" customHeight="1" x14ac:dyDescent="0.2">
      <c r="C85" s="156" t="s">
        <v>59</v>
      </c>
      <c r="D85" s="156"/>
      <c r="E85" s="156"/>
    </row>
    <row r="89" spans="1:5" x14ac:dyDescent="0.2">
      <c r="C89" s="81" t="s">
        <v>16</v>
      </c>
    </row>
    <row r="91" spans="1:5" x14ac:dyDescent="0.2">
      <c r="A91" s="1" t="s">
        <v>17</v>
      </c>
      <c r="C91" s="22" t="s">
        <v>4</v>
      </c>
      <c r="E91" s="63"/>
    </row>
    <row r="92" spans="1:5" x14ac:dyDescent="0.2">
      <c r="C92" s="22"/>
      <c r="E92" s="63"/>
    </row>
    <row r="93" spans="1:5" ht="72" customHeight="1" x14ac:dyDescent="0.2">
      <c r="C93" s="156" t="s">
        <v>83</v>
      </c>
      <c r="D93" s="156"/>
      <c r="E93" s="156"/>
    </row>
    <row r="94" spans="1:5" ht="15.75" customHeight="1" x14ac:dyDescent="0.2">
      <c r="A94" s="1" t="s">
        <v>0</v>
      </c>
    </row>
    <row r="95" spans="1:5" x14ac:dyDescent="0.2">
      <c r="A95" s="1" t="s">
        <v>1</v>
      </c>
      <c r="C95" s="20" t="s">
        <v>18</v>
      </c>
    </row>
    <row r="97" spans="1:5" x14ac:dyDescent="0.2">
      <c r="C97" s="17" t="s">
        <v>53</v>
      </c>
      <c r="E97" s="95" t="str">
        <f>IF('Site Readiness and Pre Checks'!E24="","",'Site Readiness and Pre Checks'!E24)</f>
        <v/>
      </c>
    </row>
    <row r="99" spans="1:5" x14ac:dyDescent="0.2">
      <c r="A99" s="1" t="s">
        <v>19</v>
      </c>
      <c r="C99" s="20" t="s">
        <v>20</v>
      </c>
    </row>
    <row r="101" spans="1:5" ht="27.75" customHeight="1" x14ac:dyDescent="0.2">
      <c r="C101" s="156" t="s">
        <v>54</v>
      </c>
      <c r="D101" s="156"/>
      <c r="E101" s="156"/>
    </row>
    <row r="103" spans="1:5" x14ac:dyDescent="0.2">
      <c r="A103" s="1" t="s">
        <v>7</v>
      </c>
      <c r="C103" s="20" t="s">
        <v>21</v>
      </c>
    </row>
    <row r="105" spans="1:5" x14ac:dyDescent="0.2">
      <c r="C105" s="17" t="s">
        <v>55</v>
      </c>
      <c r="E105" s="60" t="str">
        <f>IF('Site Readiness and Pre Checks'!E55="","",'Site Readiness and Pre Checks'!E55)</f>
        <v/>
      </c>
    </row>
    <row r="107" spans="1:5" x14ac:dyDescent="0.2">
      <c r="C107" s="17" t="s">
        <v>31</v>
      </c>
      <c r="E107" s="60" t="str">
        <f>IF('Site Readiness and Pre Checks'!E56="","",'Site Readiness and Pre Checks'!E56)</f>
        <v/>
      </c>
    </row>
    <row r="108" spans="1:5" x14ac:dyDescent="0.2">
      <c r="C108" s="17" t="s">
        <v>30</v>
      </c>
      <c r="E108" s="60" t="str">
        <f>IF('Site Readiness and Pre Checks'!E57="","",'Site Readiness and Pre Checks'!E57)</f>
        <v/>
      </c>
    </row>
    <row r="109" spans="1:5" x14ac:dyDescent="0.2">
      <c r="C109" s="17" t="s">
        <v>32</v>
      </c>
      <c r="E109" s="60" t="str">
        <f>IF('Site Readiness and Pre Checks'!E58="","",'Site Readiness and Pre Checks'!E58)</f>
        <v/>
      </c>
    </row>
    <row r="111" spans="1:5" x14ac:dyDescent="0.2">
      <c r="A111" s="1" t="s">
        <v>9</v>
      </c>
      <c r="C111" s="20" t="s">
        <v>22</v>
      </c>
    </row>
    <row r="113" spans="1:5" x14ac:dyDescent="0.2">
      <c r="C113" s="17" t="s">
        <v>56</v>
      </c>
      <c r="E113" s="64" t="s">
        <v>57</v>
      </c>
    </row>
    <row r="115" spans="1:5" x14ac:dyDescent="0.2">
      <c r="A115" s="1" t="s">
        <v>11</v>
      </c>
      <c r="C115" s="20" t="s">
        <v>23</v>
      </c>
    </row>
    <row r="117" spans="1:5" ht="30" customHeight="1" x14ac:dyDescent="0.2">
      <c r="C117" s="156" t="s">
        <v>58</v>
      </c>
      <c r="D117" s="156"/>
      <c r="E117" s="156"/>
    </row>
    <row r="119" spans="1:5" x14ac:dyDescent="0.2">
      <c r="A119" s="1" t="s">
        <v>13</v>
      </c>
      <c r="C119" s="20" t="s">
        <v>24</v>
      </c>
    </row>
    <row r="121" spans="1:5" ht="15.75" customHeight="1" x14ac:dyDescent="0.2">
      <c r="C121" s="156" t="s">
        <v>52</v>
      </c>
      <c r="D121" s="156"/>
      <c r="E121" s="156"/>
    </row>
    <row r="123" spans="1:5" x14ac:dyDescent="0.2">
      <c r="A123" s="1" t="s">
        <v>25</v>
      </c>
      <c r="C123" s="20" t="s">
        <v>26</v>
      </c>
    </row>
    <row r="125" spans="1:5" ht="31.5" customHeight="1" x14ac:dyDescent="0.2">
      <c r="C125" s="156" t="s">
        <v>60</v>
      </c>
      <c r="D125" s="156"/>
      <c r="E125" s="156"/>
    </row>
    <row r="126" spans="1:5" ht="38.25" x14ac:dyDescent="0.2">
      <c r="C126" s="49" t="s">
        <v>121</v>
      </c>
      <c r="D126" s="49"/>
      <c r="E126" s="49"/>
    </row>
    <row r="127" spans="1:5" ht="12.75" x14ac:dyDescent="0.2">
      <c r="C127" s="157" t="s">
        <v>0</v>
      </c>
      <c r="D127" s="157"/>
      <c r="E127" s="157"/>
    </row>
    <row r="128" spans="1:5" ht="12.75" x14ac:dyDescent="0.2">
      <c r="C128" s="51"/>
      <c r="D128" s="51"/>
      <c r="E128" s="51"/>
    </row>
    <row r="129" spans="3:5" ht="12.75" x14ac:dyDescent="0.2">
      <c r="C129" s="51"/>
      <c r="D129" s="51"/>
      <c r="E129" s="51"/>
    </row>
    <row r="131" spans="3:5" ht="13.5" customHeight="1" x14ac:dyDescent="0.2">
      <c r="C131" s="154" t="s">
        <v>117</v>
      </c>
      <c r="D131" s="154"/>
      <c r="E131" s="154"/>
    </row>
    <row r="132" spans="3:5" ht="13.5" customHeight="1" x14ac:dyDescent="0.2">
      <c r="C132" s="155" t="s">
        <v>65</v>
      </c>
      <c r="D132" s="155"/>
      <c r="E132" s="155"/>
    </row>
  </sheetData>
  <sheetProtection password="8121" sheet="1" objects="1" scenarios="1" selectLockedCells="1"/>
  <mergeCells count="17">
    <mergeCell ref="C2:E2"/>
    <mergeCell ref="C27:E27"/>
    <mergeCell ref="C29:E29"/>
    <mergeCell ref="C37:E37"/>
    <mergeCell ref="C77:E77"/>
    <mergeCell ref="C35:E35"/>
    <mergeCell ref="H55:L57"/>
    <mergeCell ref="C131:E131"/>
    <mergeCell ref="C132:E132"/>
    <mergeCell ref="C125:E125"/>
    <mergeCell ref="C81:E81"/>
    <mergeCell ref="C85:E85"/>
    <mergeCell ref="C93:E93"/>
    <mergeCell ref="C101:E101"/>
    <mergeCell ref="C117:E117"/>
    <mergeCell ref="C121:E121"/>
    <mergeCell ref="C127:E127"/>
  </mergeCells>
  <conditionalFormatting sqref="E48:E49">
    <cfRule type="expression" dxfId="48" priority="10">
      <formula>$E$47="No"</formula>
    </cfRule>
  </conditionalFormatting>
  <conditionalFormatting sqref="E48">
    <cfRule type="expression" dxfId="47" priority="9">
      <formula>$E$47="Yes"</formula>
    </cfRule>
  </conditionalFormatting>
  <conditionalFormatting sqref="E49">
    <cfRule type="expression" dxfId="46" priority="8">
      <formula>$E$47="Yes"</formula>
    </cfRule>
  </conditionalFormatting>
  <conditionalFormatting sqref="E59">
    <cfRule type="expression" dxfId="45" priority="7">
      <formula>$E$59="NA"</formula>
    </cfRule>
  </conditionalFormatting>
  <conditionalFormatting sqref="E60">
    <cfRule type="expression" dxfId="44" priority="6">
      <formula>$E$60="NA"</formula>
    </cfRule>
  </conditionalFormatting>
  <conditionalFormatting sqref="E61">
    <cfRule type="expression" dxfId="43" priority="5">
      <formula>$E$61="NA"</formula>
    </cfRule>
  </conditionalFormatting>
  <conditionalFormatting sqref="E62">
    <cfRule type="expression" dxfId="42" priority="4">
      <formula>$E$62="NA"</formula>
    </cfRule>
  </conditionalFormatting>
  <conditionalFormatting sqref="E63">
    <cfRule type="expression" dxfId="41" priority="3">
      <formula>$E$63="NA"</formula>
    </cfRule>
  </conditionalFormatting>
  <conditionalFormatting sqref="E64">
    <cfRule type="expression" dxfId="40" priority="2">
      <formula>$E$64="NA"</formula>
    </cfRule>
  </conditionalFormatting>
  <conditionalFormatting sqref="E65">
    <cfRule type="expression" dxfId="39" priority="1">
      <formula>$E$65="NA"</formula>
    </cfRule>
  </conditionalFormatting>
  <pageMargins left="0.25" right="0.25"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59999389629810485"/>
  </sheetPr>
  <dimension ref="A2:E132"/>
  <sheetViews>
    <sheetView showGridLines="0" showRowColHeaders="0" zoomScaleNormal="100" workbookViewId="0">
      <selection activeCell="E70" sqref="E70"/>
    </sheetView>
  </sheetViews>
  <sheetFormatPr defaultRowHeight="13.5" x14ac:dyDescent="0.2"/>
  <cols>
    <col min="1" max="1" width="8.42578125" style="108" customWidth="1"/>
    <col min="2" max="2" width="0.85546875" style="2" customWidth="1"/>
    <col min="3" max="3" width="49" style="20" customWidth="1"/>
    <col min="4" max="4" width="0.5703125" style="2" customWidth="1"/>
    <col min="5" max="5" width="42.5703125" style="62" customWidth="1"/>
    <col min="6" max="6" width="1.28515625" style="2" customWidth="1"/>
    <col min="7" max="16384" width="9.140625" style="2"/>
  </cols>
  <sheetData>
    <row r="2" spans="3:5" ht="15" x14ac:dyDescent="0.2">
      <c r="C2" s="158" t="s">
        <v>101</v>
      </c>
      <c r="D2" s="158"/>
      <c r="E2" s="158"/>
    </row>
    <row r="3" spans="3:5" ht="15" x14ac:dyDescent="0.2">
      <c r="C3" s="110"/>
      <c r="D3" s="110"/>
      <c r="E3" s="54"/>
    </row>
    <row r="4" spans="3:5" ht="15" x14ac:dyDescent="0.2">
      <c r="C4" s="110"/>
      <c r="D4" s="110"/>
      <c r="E4" s="54"/>
    </row>
    <row r="5" spans="3:5" ht="14.25" x14ac:dyDescent="0.2">
      <c r="C5" s="79" t="s">
        <v>102</v>
      </c>
      <c r="D5" s="79"/>
      <c r="E5" s="105" t="str">
        <f>IF('Site Readiness and Pre Check P'!E22="","",'Site Readiness and Pre Check P'!E22)</f>
        <v/>
      </c>
    </row>
    <row r="6" spans="3:5" ht="14.25" x14ac:dyDescent="0.2">
      <c r="C6" s="16"/>
      <c r="D6" s="16"/>
      <c r="E6" s="55"/>
    </row>
    <row r="7" spans="3:5" ht="14.25" x14ac:dyDescent="0.2">
      <c r="C7" s="79" t="s">
        <v>126</v>
      </c>
      <c r="D7" s="79"/>
      <c r="E7" s="105" t="str">
        <f>IF('Site Readiness and Pre Check P'!E26="","",'Site Readiness and Pre Check P'!E26)</f>
        <v/>
      </c>
    </row>
    <row r="8" spans="3:5" ht="14.25" x14ac:dyDescent="0.2">
      <c r="C8" s="16" t="s">
        <v>69</v>
      </c>
      <c r="D8" s="16"/>
      <c r="E8" s="55" t="str">
        <f>IF('Site Readiness and Pre Check P'!E27="","",'Site Readiness and Pre Check P'!E27)</f>
        <v/>
      </c>
    </row>
    <row r="9" spans="3:5" ht="14.25" x14ac:dyDescent="0.2">
      <c r="C9" s="79" t="s">
        <v>118</v>
      </c>
      <c r="D9" s="79"/>
      <c r="E9" s="80" t="str">
        <f>IF('Site Readiness and Pre Check P'!E28="","",'Site Readiness and Pre Check P'!E28)</f>
        <v/>
      </c>
    </row>
    <row r="10" spans="3:5" ht="14.25" x14ac:dyDescent="0.2">
      <c r="C10" s="16" t="s">
        <v>119</v>
      </c>
      <c r="D10" s="16"/>
      <c r="E10" s="55" t="str">
        <f>IF('Site Readiness and Pre Check P'!E29="","",'Site Readiness and Pre Check P'!E29)</f>
        <v/>
      </c>
    </row>
    <row r="11" spans="3:5" ht="14.25" x14ac:dyDescent="0.2">
      <c r="C11" s="79" t="s">
        <v>72</v>
      </c>
      <c r="D11" s="79"/>
      <c r="E11" s="80" t="str">
        <f>IF('Site Readiness and Pre Check P'!E30="","",'Site Readiness and Pre Check P'!E30)</f>
        <v/>
      </c>
    </row>
    <row r="12" spans="3:5" ht="14.25" x14ac:dyDescent="0.2">
      <c r="C12" s="16" t="s">
        <v>106</v>
      </c>
      <c r="D12" s="16"/>
      <c r="E12" s="55" t="str">
        <f>IF('Site Readiness and Pre Check P'!E42="","",'Site Readiness and Pre Check P'!E42)</f>
        <v/>
      </c>
    </row>
    <row r="13" spans="3:5" ht="14.25" x14ac:dyDescent="0.2">
      <c r="C13" s="79"/>
      <c r="D13" s="79"/>
      <c r="E13" s="80"/>
    </row>
    <row r="14" spans="3:5" ht="14.25" x14ac:dyDescent="0.2">
      <c r="C14" s="103" t="s">
        <v>143</v>
      </c>
      <c r="D14" s="53"/>
      <c r="E14" s="114" t="str">
        <f>IF('Site Readiness and Pre Check P'!E9="","",'Site Readiness and Pre Check P'!E9)</f>
        <v/>
      </c>
    </row>
    <row r="15" spans="3:5" ht="14.25" x14ac:dyDescent="0.2">
      <c r="C15" s="79" t="s">
        <v>144</v>
      </c>
      <c r="D15" s="79"/>
      <c r="E15" s="80" t="str">
        <f>IF('Site Readiness and Pre Check P'!E10="","",'Site Readiness and Pre Check P'!E10)</f>
        <v/>
      </c>
    </row>
    <row r="16" spans="3:5" ht="14.25" x14ac:dyDescent="0.2">
      <c r="C16" s="2"/>
      <c r="D16" s="16"/>
      <c r="E16" s="55"/>
    </row>
    <row r="17" spans="3:5" ht="14.25" x14ac:dyDescent="0.2">
      <c r="C17" s="79" t="s">
        <v>107</v>
      </c>
      <c r="D17" s="79"/>
      <c r="E17" s="89" t="str">
        <f>IF('Site Readiness and Pre Check P'!E15="","",'Site Readiness and Pre Check P'!E15)</f>
        <v/>
      </c>
    </row>
    <row r="18" spans="3:5" ht="14.25" x14ac:dyDescent="0.2">
      <c r="C18" s="16"/>
      <c r="D18" s="16"/>
      <c r="E18" s="104" t="str">
        <f>IF('Site Readiness and Pre Check P'!E16="","",'Site Readiness and Pre Check P'!E16)</f>
        <v/>
      </c>
    </row>
    <row r="19" spans="3:5" ht="14.25" x14ac:dyDescent="0.2">
      <c r="C19" s="16"/>
      <c r="D19" s="16"/>
      <c r="E19" s="89" t="str">
        <f>IF('Site Readiness and Pre Check P'!E17="","",'Site Readiness and Pre Check P'!E17)</f>
        <v/>
      </c>
    </row>
    <row r="20" spans="3:5" ht="14.25" x14ac:dyDescent="0.2">
      <c r="C20" s="16"/>
      <c r="D20" s="16"/>
      <c r="E20" s="90" t="str">
        <f>IF('Site Readiness and Pre Check P'!E18="","",'Site Readiness and Pre Check P'!E18)</f>
        <v/>
      </c>
    </row>
    <row r="21" spans="3:5" ht="14.25" x14ac:dyDescent="0.2">
      <c r="E21" s="89" t="str">
        <f>IF('Site Readiness and Pre Check P'!E19="","",'Site Readiness and Pre Check P'!E19)</f>
        <v/>
      </c>
    </row>
    <row r="23" spans="3:5" ht="14.25" x14ac:dyDescent="0.2">
      <c r="C23" s="16"/>
      <c r="D23" s="16"/>
      <c r="E23" s="80"/>
    </row>
    <row r="24" spans="3:5" ht="14.25" x14ac:dyDescent="0.2">
      <c r="C24" s="16" t="s">
        <v>105</v>
      </c>
      <c r="D24" s="16"/>
      <c r="E24" s="90" t="str">
        <f>IF('Site Readiness and Pre Check P'!E12="","",'Site Readiness and Pre Check P'!E12)</f>
        <v/>
      </c>
    </row>
    <row r="25" spans="3:5" ht="14.25" x14ac:dyDescent="0.2">
      <c r="C25" s="79" t="s">
        <v>97</v>
      </c>
      <c r="D25" s="79"/>
      <c r="E25" s="89" t="str">
        <f>IF('Site Readiness and Pre Check P'!E13="","",'Site Readiness and Pre Check P'!E13)</f>
        <v/>
      </c>
    </row>
    <row r="26" spans="3:5" ht="14.25" x14ac:dyDescent="0.2">
      <c r="C26" s="16"/>
      <c r="D26" s="16"/>
      <c r="E26" s="55"/>
    </row>
    <row r="27" spans="3:5" ht="12.75" x14ac:dyDescent="0.2">
      <c r="C27" s="159" t="s">
        <v>0</v>
      </c>
      <c r="D27" s="159"/>
      <c r="E27" s="159"/>
    </row>
    <row r="28" spans="3:5" ht="12.75" x14ac:dyDescent="0.2">
      <c r="D28" s="20"/>
      <c r="E28" s="56"/>
    </row>
    <row r="29" spans="3:5" ht="12.75" x14ac:dyDescent="0.2">
      <c r="C29" s="160" t="s">
        <v>108</v>
      </c>
      <c r="D29" s="160"/>
      <c r="E29" s="160"/>
    </row>
    <row r="30" spans="3:5" x14ac:dyDescent="0.2">
      <c r="C30" s="111"/>
      <c r="D30" s="5"/>
      <c r="E30" s="57"/>
    </row>
    <row r="31" spans="3:5" x14ac:dyDescent="0.2">
      <c r="C31" s="81" t="s">
        <v>15</v>
      </c>
      <c r="D31" s="107"/>
      <c r="E31" s="58"/>
    </row>
    <row r="32" spans="3:5" x14ac:dyDescent="0.2">
      <c r="D32" s="107"/>
      <c r="E32" s="58"/>
    </row>
    <row r="33" spans="1:5" x14ac:dyDescent="0.2">
      <c r="A33" s="108" t="s">
        <v>3</v>
      </c>
      <c r="C33" s="20" t="s">
        <v>4</v>
      </c>
      <c r="D33" s="107"/>
      <c r="E33" s="58" t="s">
        <v>0</v>
      </c>
    </row>
    <row r="34" spans="1:5" x14ac:dyDescent="0.2">
      <c r="D34" s="107"/>
      <c r="E34" s="58"/>
    </row>
    <row r="35" spans="1:5" ht="27.75" customHeight="1" x14ac:dyDescent="0.2">
      <c r="C35" s="161" t="s">
        <v>125</v>
      </c>
      <c r="D35" s="134"/>
      <c r="E35" s="134"/>
    </row>
    <row r="37" spans="1:5" ht="27.75" customHeight="1" x14ac:dyDescent="0.2">
      <c r="C37" s="156" t="s">
        <v>27</v>
      </c>
      <c r="D37" s="156"/>
      <c r="E37" s="156"/>
    </row>
    <row r="38" spans="1:5" x14ac:dyDescent="0.2">
      <c r="C38" s="109"/>
      <c r="D38" s="106"/>
      <c r="E38" s="59"/>
    </row>
    <row r="39" spans="1:5" x14ac:dyDescent="0.2">
      <c r="A39" s="108" t="s">
        <v>1</v>
      </c>
      <c r="C39" s="109" t="s">
        <v>2</v>
      </c>
      <c r="D39" s="106"/>
      <c r="E39" s="59"/>
    </row>
    <row r="41" spans="1:5" x14ac:dyDescent="0.2">
      <c r="C41" s="17" t="s">
        <v>28</v>
      </c>
      <c r="E41" s="93" t="str">
        <f>IF('Site Readiness and Pre Check P'!E25="","",'Site Readiness and Pre Check P'!E25)</f>
        <v/>
      </c>
    </row>
    <row r="42" spans="1:5" x14ac:dyDescent="0.2">
      <c r="C42" s="17" t="s">
        <v>29</v>
      </c>
      <c r="E42" s="93"/>
    </row>
    <row r="43" spans="1:5" x14ac:dyDescent="0.2">
      <c r="C43" s="17" t="s">
        <v>31</v>
      </c>
      <c r="E43" s="60" t="str">
        <f>IF('Site Readiness and Pre Check P'!E44="","",'Site Readiness and Pre Check P'!E44)</f>
        <v/>
      </c>
    </row>
    <row r="44" spans="1:5" x14ac:dyDescent="0.2">
      <c r="C44" s="17" t="s">
        <v>30</v>
      </c>
      <c r="E44" s="60" t="str">
        <f>IF('Site Readiness and Pre Check P'!E45="","",'Site Readiness and Pre Check P'!E45)</f>
        <v/>
      </c>
    </row>
    <row r="45" spans="1:5" x14ac:dyDescent="0.2">
      <c r="C45" s="17" t="s">
        <v>32</v>
      </c>
      <c r="E45" s="60" t="str">
        <f>IF('Site Readiness and Pre Check P'!E46="","",'Site Readiness and Pre Check P'!E46)</f>
        <v/>
      </c>
    </row>
    <row r="47" spans="1:5" x14ac:dyDescent="0.2">
      <c r="C47" s="17" t="s">
        <v>34</v>
      </c>
      <c r="E47" s="60" t="str">
        <f>IF('Site Readiness and Pre Check P'!E49="","",'Site Readiness and Pre Check P'!E49)</f>
        <v/>
      </c>
    </row>
    <row r="48" spans="1:5" x14ac:dyDescent="0.2">
      <c r="C48" s="17" t="s">
        <v>33</v>
      </c>
      <c r="E48" s="61" t="str">
        <f>IF('Site Readiness and Pre Check P'!E49="No","NA",IF('Site Readiness and Pre Check P'!E50="","",'Site Readiness and Pre Check P'!E50))</f>
        <v/>
      </c>
    </row>
    <row r="49" spans="1:5" x14ac:dyDescent="0.2">
      <c r="C49" s="17" t="s">
        <v>120</v>
      </c>
      <c r="E49" s="61" t="str">
        <f>IF('Site Readiness and Pre Check P'!E49="No","NA",IF('Site Readiness and Pre Check P'!E51="","",'Site Readiness and Pre Check P'!E51))</f>
        <v/>
      </c>
    </row>
    <row r="51" spans="1:5" x14ac:dyDescent="0.2">
      <c r="C51" s="17" t="s">
        <v>36</v>
      </c>
      <c r="E51" s="60" t="str">
        <f>IF('Site Readiness and Pre Check P'!E47="","",'Site Readiness and Pre Check P'!E47)</f>
        <v/>
      </c>
    </row>
    <row r="52" spans="1:5" x14ac:dyDescent="0.2">
      <c r="C52" s="17" t="s">
        <v>37</v>
      </c>
      <c r="E52" s="60" t="str">
        <f>IF('Site Readiness and Pre Check P'!E48="","",'Site Readiness and Pre Check P'!E48)</f>
        <v/>
      </c>
    </row>
    <row r="53" spans="1:5" x14ac:dyDescent="0.2">
      <c r="C53" s="109"/>
    </row>
    <row r="54" spans="1:5" x14ac:dyDescent="0.2">
      <c r="A54" s="108" t="s">
        <v>5</v>
      </c>
      <c r="C54" s="20" t="s">
        <v>6</v>
      </c>
    </row>
    <row r="56" spans="1:5" x14ac:dyDescent="0.2">
      <c r="C56" s="17" t="s">
        <v>38</v>
      </c>
      <c r="E56" s="26" t="str">
        <f>IF(calc!K51=0,"Turn OFF HQ communication",IF(calc!K51=1,"Set outbound HQ communication only","Set bi-directional HQ communication"))</f>
        <v>Turn OFF HQ communication</v>
      </c>
    </row>
    <row r="58" spans="1:5" x14ac:dyDescent="0.2">
      <c r="C58" s="17" t="s">
        <v>39</v>
      </c>
      <c r="E58" s="60" t="str">
        <f>IF('Site Readiness and Pre Check P'!E67="","",'Site Readiness and Pre Check P'!E67)</f>
        <v/>
      </c>
    </row>
    <row r="59" spans="1:5" x14ac:dyDescent="0.2">
      <c r="C59" s="17" t="s">
        <v>40</v>
      </c>
      <c r="E59" s="61" t="str">
        <f>IF('Site Readiness and Pre Check P'!E67="No","NA",IF('Site Readiness and Pre Check P'!E68="","",'Site Readiness and Pre Check P'!E68))</f>
        <v/>
      </c>
    </row>
    <row r="60" spans="1:5" x14ac:dyDescent="0.2">
      <c r="C60" s="17" t="s">
        <v>41</v>
      </c>
      <c r="E60" s="61" t="str">
        <f>IF('Site Readiness and Pre Check P'!E67="No","NA",IF('Site Readiness and Pre Check P'!E69="","",'Site Readiness and Pre Check P'!E69))</f>
        <v/>
      </c>
    </row>
    <row r="61" spans="1:5" x14ac:dyDescent="0.2">
      <c r="C61" s="17" t="s">
        <v>42</v>
      </c>
      <c r="E61" s="61" t="str">
        <f>IF('Site Readiness and Pre Check P'!E67="No","NA",IF('Site Readiness and Pre Check P'!E70="","",'Site Readiness and Pre Check P'!E70))</f>
        <v/>
      </c>
    </row>
    <row r="62" spans="1:5" x14ac:dyDescent="0.2">
      <c r="C62" s="17" t="s">
        <v>43</v>
      </c>
      <c r="E62" s="61" t="str">
        <f>IF('Site Readiness and Pre Check P'!E67="No","NA",IF('Site Readiness and Pre Check P'!E71="","",'Site Readiness and Pre Check P'!E71))</f>
        <v/>
      </c>
    </row>
    <row r="63" spans="1:5" x14ac:dyDescent="0.2">
      <c r="C63" s="17" t="s">
        <v>44</v>
      </c>
      <c r="E63" s="61">
        <f>IF('Site Readiness and Pre Check P'!E67="No","NA",IF('Site Readiness and Pre Check P'!E71="No","NA",'Site Readiness and Pre Check P'!E72))</f>
        <v>0</v>
      </c>
    </row>
    <row r="64" spans="1:5" x14ac:dyDescent="0.2">
      <c r="C64" s="17" t="s">
        <v>45</v>
      </c>
      <c r="E64" s="61">
        <f>IF('Site Readiness and Pre Check P'!E67="No","NA",IF('Site Readiness and Pre Check P'!E71="No","NA",'Site Readiness and Pre Check P'!E73))</f>
        <v>0</v>
      </c>
    </row>
    <row r="65" spans="1:5" x14ac:dyDescent="0.2">
      <c r="C65" s="17" t="s">
        <v>46</v>
      </c>
      <c r="E65" s="61">
        <f>IF('Site Readiness and Pre Check P'!E67="No","NA",IF('Site Readiness and Pre Check P'!E71="No","NA",'Site Readiness and Pre Check P'!E73))</f>
        <v>0</v>
      </c>
    </row>
    <row r="66" spans="1:5" x14ac:dyDescent="0.2">
      <c r="C66" s="109"/>
    </row>
    <row r="67" spans="1:5" x14ac:dyDescent="0.2">
      <c r="A67" s="108" t="s">
        <v>7</v>
      </c>
      <c r="C67" s="20" t="s">
        <v>8</v>
      </c>
    </row>
    <row r="69" spans="1:5" x14ac:dyDescent="0.2">
      <c r="C69" s="17" t="s">
        <v>50</v>
      </c>
      <c r="E69" s="61"/>
    </row>
    <row r="70" spans="1:5" x14ac:dyDescent="0.2">
      <c r="C70" s="17" t="s">
        <v>47</v>
      </c>
      <c r="E70" s="78" t="str">
        <f>IF('Site Readiness and Pre Check P'!E76="","",'Site Readiness and Pre Check P'!E76)</f>
        <v/>
      </c>
    </row>
    <row r="72" spans="1:5" x14ac:dyDescent="0.2">
      <c r="C72" s="17" t="s">
        <v>48</v>
      </c>
      <c r="E72" s="78"/>
    </row>
    <row r="73" spans="1:5" x14ac:dyDescent="0.2">
      <c r="C73" s="17" t="s">
        <v>49</v>
      </c>
      <c r="E73" s="78"/>
    </row>
    <row r="75" spans="1:5" x14ac:dyDescent="0.2">
      <c r="A75" s="108" t="s">
        <v>9</v>
      </c>
      <c r="C75" s="20" t="s">
        <v>10</v>
      </c>
    </row>
    <row r="77" spans="1:5" ht="27.75" customHeight="1" x14ac:dyDescent="0.2">
      <c r="C77" s="156" t="s">
        <v>51</v>
      </c>
      <c r="D77" s="156"/>
      <c r="E77" s="156"/>
    </row>
    <row r="79" spans="1:5" x14ac:dyDescent="0.2">
      <c r="A79" s="108" t="s">
        <v>11</v>
      </c>
      <c r="C79" s="20" t="s">
        <v>12</v>
      </c>
    </row>
    <row r="81" spans="1:5" ht="15" customHeight="1" x14ac:dyDescent="0.2">
      <c r="C81" s="156" t="s">
        <v>52</v>
      </c>
      <c r="D81" s="156"/>
      <c r="E81" s="156"/>
    </row>
    <row r="83" spans="1:5" x14ac:dyDescent="0.2">
      <c r="A83" s="108" t="s">
        <v>13</v>
      </c>
      <c r="C83" s="20" t="s">
        <v>14</v>
      </c>
    </row>
    <row r="85" spans="1:5" ht="54.75" customHeight="1" x14ac:dyDescent="0.2">
      <c r="C85" s="156" t="s">
        <v>59</v>
      </c>
      <c r="D85" s="156"/>
      <c r="E85" s="156"/>
    </row>
    <row r="89" spans="1:5" x14ac:dyDescent="0.2">
      <c r="C89" s="81" t="s">
        <v>16</v>
      </c>
    </row>
    <row r="91" spans="1:5" x14ac:dyDescent="0.2">
      <c r="A91" s="108" t="s">
        <v>17</v>
      </c>
      <c r="C91" s="22" t="s">
        <v>4</v>
      </c>
      <c r="E91" s="63"/>
    </row>
    <row r="92" spans="1:5" x14ac:dyDescent="0.2">
      <c r="C92" s="22"/>
      <c r="E92" s="63"/>
    </row>
    <row r="93" spans="1:5" ht="72" customHeight="1" x14ac:dyDescent="0.2">
      <c r="C93" s="156" t="s">
        <v>83</v>
      </c>
      <c r="D93" s="156"/>
      <c r="E93" s="156"/>
    </row>
    <row r="94" spans="1:5" ht="15.75" customHeight="1" x14ac:dyDescent="0.2">
      <c r="A94" s="108" t="s">
        <v>0</v>
      </c>
    </row>
    <row r="95" spans="1:5" x14ac:dyDescent="0.2">
      <c r="A95" s="108" t="s">
        <v>1</v>
      </c>
      <c r="C95" s="20" t="s">
        <v>18</v>
      </c>
    </row>
    <row r="97" spans="1:5" x14ac:dyDescent="0.2">
      <c r="C97" s="17" t="s">
        <v>53</v>
      </c>
      <c r="E97" s="95" t="str">
        <f>IF('Site Readiness and Pre Check P'!E24="","",'Site Readiness and Pre Check P'!E24)</f>
        <v/>
      </c>
    </row>
    <row r="99" spans="1:5" x14ac:dyDescent="0.2">
      <c r="A99" s="108" t="s">
        <v>19</v>
      </c>
      <c r="C99" s="20" t="s">
        <v>20</v>
      </c>
    </row>
    <row r="101" spans="1:5" ht="27.75" customHeight="1" x14ac:dyDescent="0.2">
      <c r="C101" s="156" t="s">
        <v>54</v>
      </c>
      <c r="D101" s="156"/>
      <c r="E101" s="156"/>
    </row>
    <row r="103" spans="1:5" x14ac:dyDescent="0.2">
      <c r="A103" s="108" t="s">
        <v>7</v>
      </c>
      <c r="C103" s="20" t="s">
        <v>21</v>
      </c>
    </row>
    <row r="105" spans="1:5" x14ac:dyDescent="0.2">
      <c r="C105" s="17" t="s">
        <v>55</v>
      </c>
      <c r="E105" s="60" t="str">
        <f>IF('Site Readiness and Pre Check P'!E55="","",'Site Readiness and Pre Check P'!E55)</f>
        <v/>
      </c>
    </row>
    <row r="107" spans="1:5" x14ac:dyDescent="0.2">
      <c r="C107" s="17" t="s">
        <v>31</v>
      </c>
      <c r="E107" s="60" t="str">
        <f>IF('Site Readiness and Pre Check P'!E56="","",'Site Readiness and Pre Check P'!E56)</f>
        <v/>
      </c>
    </row>
    <row r="108" spans="1:5" x14ac:dyDescent="0.2">
      <c r="C108" s="17" t="s">
        <v>30</v>
      </c>
      <c r="E108" s="60" t="str">
        <f>IF('Site Readiness and Pre Check P'!E57="","",'Site Readiness and Pre Check P'!E57)</f>
        <v/>
      </c>
    </row>
    <row r="109" spans="1:5" x14ac:dyDescent="0.2">
      <c r="C109" s="17" t="s">
        <v>32</v>
      </c>
      <c r="E109" s="60" t="str">
        <f>IF('Site Readiness and Pre Check P'!E58="","",'Site Readiness and Pre Check P'!E58)</f>
        <v/>
      </c>
    </row>
    <row r="111" spans="1:5" x14ac:dyDescent="0.2">
      <c r="A111" s="108" t="s">
        <v>9</v>
      </c>
      <c r="C111" s="20" t="s">
        <v>22</v>
      </c>
    </row>
    <row r="113" spans="1:5" x14ac:dyDescent="0.2">
      <c r="C113" s="17" t="s">
        <v>56</v>
      </c>
      <c r="E113" s="64" t="s">
        <v>57</v>
      </c>
    </row>
    <row r="115" spans="1:5" x14ac:dyDescent="0.2">
      <c r="A115" s="108" t="s">
        <v>11</v>
      </c>
      <c r="C115" s="20" t="s">
        <v>23</v>
      </c>
    </row>
    <row r="117" spans="1:5" ht="30" customHeight="1" x14ac:dyDescent="0.2">
      <c r="C117" s="156" t="s">
        <v>58</v>
      </c>
      <c r="D117" s="156"/>
      <c r="E117" s="156"/>
    </row>
    <row r="119" spans="1:5" x14ac:dyDescent="0.2">
      <c r="A119" s="108" t="s">
        <v>13</v>
      </c>
      <c r="C119" s="20" t="s">
        <v>24</v>
      </c>
    </row>
    <row r="121" spans="1:5" ht="15.75" customHeight="1" x14ac:dyDescent="0.2">
      <c r="C121" s="156" t="s">
        <v>52</v>
      </c>
      <c r="D121" s="156"/>
      <c r="E121" s="156"/>
    </row>
    <row r="123" spans="1:5" x14ac:dyDescent="0.2">
      <c r="A123" s="108" t="s">
        <v>25</v>
      </c>
      <c r="C123" s="20" t="s">
        <v>26</v>
      </c>
    </row>
    <row r="125" spans="1:5" ht="31.5" customHeight="1" x14ac:dyDescent="0.2">
      <c r="C125" s="156" t="s">
        <v>60</v>
      </c>
      <c r="D125" s="156"/>
      <c r="E125" s="156"/>
    </row>
    <row r="126" spans="1:5" ht="38.25" x14ac:dyDescent="0.2">
      <c r="C126" s="109" t="s">
        <v>121</v>
      </c>
      <c r="D126" s="109"/>
      <c r="E126" s="109"/>
    </row>
    <row r="127" spans="1:5" ht="12.75" x14ac:dyDescent="0.2">
      <c r="C127" s="157" t="s">
        <v>0</v>
      </c>
      <c r="D127" s="157"/>
      <c r="E127" s="157"/>
    </row>
    <row r="128" spans="1:5" ht="12.75" x14ac:dyDescent="0.2">
      <c r="C128" s="112"/>
      <c r="D128" s="112"/>
      <c r="E128" s="112"/>
    </row>
    <row r="129" spans="3:5" ht="12.75" x14ac:dyDescent="0.2">
      <c r="C129" s="112"/>
      <c r="D129" s="112"/>
      <c r="E129" s="112"/>
    </row>
    <row r="131" spans="3:5" ht="13.5" customHeight="1" x14ac:dyDescent="0.2">
      <c r="C131" s="154" t="s">
        <v>117</v>
      </c>
      <c r="D131" s="154"/>
      <c r="E131" s="154"/>
    </row>
    <row r="132" spans="3:5" ht="13.5" customHeight="1" x14ac:dyDescent="0.2">
      <c r="C132" s="155" t="s">
        <v>65</v>
      </c>
      <c r="D132" s="155"/>
      <c r="E132" s="155"/>
    </row>
  </sheetData>
  <sheetProtection password="8121" sheet="1" objects="1" scenarios="1" selectLockedCells="1"/>
  <mergeCells count="16">
    <mergeCell ref="C77:E77"/>
    <mergeCell ref="C2:E2"/>
    <mergeCell ref="C27:E27"/>
    <mergeCell ref="C29:E29"/>
    <mergeCell ref="C35:E35"/>
    <mergeCell ref="C37:E37"/>
    <mergeCell ref="C125:E125"/>
    <mergeCell ref="C127:E127"/>
    <mergeCell ref="C131:E131"/>
    <mergeCell ref="C132:E132"/>
    <mergeCell ref="C81:E81"/>
    <mergeCell ref="C85:E85"/>
    <mergeCell ref="C93:E93"/>
    <mergeCell ref="C101:E101"/>
    <mergeCell ref="C117:E117"/>
    <mergeCell ref="C121:E121"/>
  </mergeCells>
  <conditionalFormatting sqref="E48:E49">
    <cfRule type="expression" dxfId="38" priority="11">
      <formula>$E$47="No"</formula>
    </cfRule>
  </conditionalFormatting>
  <conditionalFormatting sqref="E48">
    <cfRule type="expression" dxfId="37" priority="10">
      <formula>$E$47="Yes"</formula>
    </cfRule>
  </conditionalFormatting>
  <conditionalFormatting sqref="E49">
    <cfRule type="expression" dxfId="36" priority="9">
      <formula>$E$47="Yes"</formula>
    </cfRule>
  </conditionalFormatting>
  <conditionalFormatting sqref="E59">
    <cfRule type="expression" dxfId="35" priority="8">
      <formula>$E$59="NA"</formula>
    </cfRule>
  </conditionalFormatting>
  <conditionalFormatting sqref="E60">
    <cfRule type="expression" dxfId="34" priority="7">
      <formula>$E$60="NA"</formula>
    </cfRule>
  </conditionalFormatting>
  <conditionalFormatting sqref="E61">
    <cfRule type="expression" dxfId="33" priority="6">
      <formula>$E$61="NA"</formula>
    </cfRule>
  </conditionalFormatting>
  <conditionalFormatting sqref="E62">
    <cfRule type="expression" dxfId="32" priority="5">
      <formula>$E$62="NA"</formula>
    </cfRule>
  </conditionalFormatting>
  <conditionalFormatting sqref="E63">
    <cfRule type="expression" dxfId="31" priority="4">
      <formula>$E$63="NA"</formula>
    </cfRule>
  </conditionalFormatting>
  <conditionalFormatting sqref="E64">
    <cfRule type="expression" dxfId="30" priority="3">
      <formula>$E$64="NA"</formula>
    </cfRule>
  </conditionalFormatting>
  <conditionalFormatting sqref="E65">
    <cfRule type="expression" dxfId="29" priority="1">
      <formula>$E$64="NA"</formula>
    </cfRule>
  </conditionalFormatting>
  <pageMargins left="0.25" right="0.25"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K72"/>
  <sheetViews>
    <sheetView showGridLines="0" showRowColHeaders="0" zoomScale="110" zoomScaleNormal="110" workbookViewId="0">
      <selection activeCell="H6" sqref="H6:I7"/>
    </sheetView>
  </sheetViews>
  <sheetFormatPr defaultRowHeight="15" x14ac:dyDescent="0.25"/>
  <cols>
    <col min="1" max="1" width="60.42578125" customWidth="1"/>
    <col min="2" max="2" width="0.5703125" customWidth="1"/>
    <col min="3" max="3" width="32.7109375" customWidth="1"/>
  </cols>
  <sheetData>
    <row r="2" spans="1:9" x14ac:dyDescent="0.25">
      <c r="A2" s="13" t="s">
        <v>85</v>
      </c>
      <c r="B2" s="12"/>
      <c r="C2" s="24"/>
    </row>
    <row r="3" spans="1:9" x14ac:dyDescent="0.25">
      <c r="A3" s="16"/>
      <c r="B3" s="12"/>
      <c r="C3" s="28"/>
    </row>
    <row r="4" spans="1:9" x14ac:dyDescent="0.25">
      <c r="A4" s="17" t="s">
        <v>81</v>
      </c>
      <c r="B4" s="2"/>
      <c r="C4" s="26" t="str">
        <f>IF('Site Readiness and Pre Checks'!E9="","",'Site Readiness and Pre Checks'!E9)</f>
        <v/>
      </c>
      <c r="D4">
        <f>IF(C4="",0,1)</f>
        <v>0</v>
      </c>
      <c r="E4" s="162">
        <f>SUM(D4:D5)</f>
        <v>0</v>
      </c>
      <c r="H4" s="163">
        <f>E4+E7+E10+E16+E24+E32+E44+D68+D71+F52</f>
        <v>0</v>
      </c>
      <c r="I4" s="164"/>
    </row>
    <row r="5" spans="1:9" x14ac:dyDescent="0.25">
      <c r="A5" s="17" t="s">
        <v>82</v>
      </c>
      <c r="B5" s="2"/>
      <c r="C5" s="26" t="str">
        <f>IF('Site Readiness and Pre Checks'!E10="","",'Site Readiness and Pre Checks'!E10)</f>
        <v/>
      </c>
      <c r="D5">
        <f>IF(C5="",0,1)</f>
        <v>0</v>
      </c>
      <c r="E5" s="162"/>
      <c r="H5" s="165"/>
      <c r="I5" s="166"/>
    </row>
    <row r="6" spans="1:9" x14ac:dyDescent="0.25">
      <c r="A6" s="16"/>
      <c r="B6" s="12"/>
      <c r="C6" s="29"/>
      <c r="H6" s="167" t="str">
        <f>IF(H4=30,"Green","Red")</f>
        <v>Red</v>
      </c>
      <c r="I6" s="167"/>
    </row>
    <row r="7" spans="1:9" x14ac:dyDescent="0.25">
      <c r="A7" s="17" t="s">
        <v>74</v>
      </c>
      <c r="B7" s="2"/>
      <c r="C7" s="26" t="str">
        <f>IF('Site Readiness and Pre Checks'!E12="","",'Site Readiness and Pre Checks'!E12)</f>
        <v/>
      </c>
      <c r="D7">
        <f t="shared" ref="D7:D20" si="0">IF(C7="",0,1)</f>
        <v>0</v>
      </c>
      <c r="E7" s="162">
        <f>SUM(D7:D8)</f>
        <v>0</v>
      </c>
      <c r="H7" s="148"/>
      <c r="I7" s="148"/>
    </row>
    <row r="8" spans="1:9" x14ac:dyDescent="0.25">
      <c r="A8" s="17" t="s">
        <v>66</v>
      </c>
      <c r="B8" s="2"/>
      <c r="C8" s="26" t="str">
        <f>IF('Site Readiness and Pre Checks'!E13="","",'Site Readiness and Pre Checks'!E13)</f>
        <v/>
      </c>
      <c r="D8">
        <f t="shared" si="0"/>
        <v>0</v>
      </c>
      <c r="E8" s="162"/>
    </row>
    <row r="9" spans="1:9" x14ac:dyDescent="0.25">
      <c r="A9" s="20"/>
      <c r="B9" s="2"/>
      <c r="C9" s="32"/>
    </row>
    <row r="10" spans="1:9" x14ac:dyDescent="0.25">
      <c r="A10" s="17" t="s">
        <v>67</v>
      </c>
      <c r="B10" s="2"/>
      <c r="C10" s="26" t="str">
        <f>IF('Site Readiness and Pre Checks'!E15="","",'Site Readiness and Pre Checks'!E15)</f>
        <v/>
      </c>
      <c r="D10">
        <f t="shared" si="0"/>
        <v>0</v>
      </c>
      <c r="E10" s="162">
        <f>SUM(D10+D11+D13+D14)</f>
        <v>0</v>
      </c>
    </row>
    <row r="11" spans="1:9" x14ac:dyDescent="0.25">
      <c r="A11" s="31"/>
      <c r="B11" s="2"/>
      <c r="C11" s="26" t="str">
        <f>IF('Site Readiness and Pre Checks'!E16="","",'Site Readiness and Pre Checks'!E16)</f>
        <v/>
      </c>
      <c r="D11">
        <f t="shared" si="0"/>
        <v>0</v>
      </c>
      <c r="E11" s="148"/>
    </row>
    <row r="12" spans="1:9" x14ac:dyDescent="0.25">
      <c r="A12" s="31"/>
      <c r="B12" s="2"/>
      <c r="C12" s="26" t="str">
        <f>IF('Site Readiness and Pre Checks'!E17="","",'Site Readiness and Pre Checks'!E17)</f>
        <v/>
      </c>
      <c r="D12">
        <f t="shared" si="0"/>
        <v>0</v>
      </c>
      <c r="E12" s="148"/>
    </row>
    <row r="13" spans="1:9" x14ac:dyDescent="0.25">
      <c r="A13" s="31"/>
      <c r="B13" s="2"/>
      <c r="C13" s="26" t="str">
        <f>IF('Site Readiness and Pre Checks'!E18="","",'Site Readiness and Pre Checks'!E18)</f>
        <v/>
      </c>
      <c r="D13">
        <f t="shared" si="0"/>
        <v>0</v>
      </c>
      <c r="E13" s="148"/>
    </row>
    <row r="14" spans="1:9" x14ac:dyDescent="0.25">
      <c r="A14" s="16"/>
      <c r="B14" s="12"/>
      <c r="C14" s="26" t="str">
        <f>IF('Site Readiness and Pre Checks'!E19="","",'Site Readiness and Pre Checks'!E19)</f>
        <v/>
      </c>
      <c r="D14">
        <f t="shared" si="0"/>
        <v>0</v>
      </c>
      <c r="E14" s="148"/>
    </row>
    <row r="15" spans="1:9" x14ac:dyDescent="0.25">
      <c r="A15" s="16"/>
      <c r="B15" s="12"/>
      <c r="C15" s="32"/>
    </row>
    <row r="16" spans="1:9" x14ac:dyDescent="0.25">
      <c r="A16" s="17" t="s">
        <v>68</v>
      </c>
      <c r="B16" s="2"/>
      <c r="C16" s="26" t="str">
        <f>IF('Site Readiness and Pre Checks'!E22="","",'Site Readiness and Pre Checks'!E22)</f>
        <v/>
      </c>
      <c r="D16">
        <f t="shared" si="0"/>
        <v>0</v>
      </c>
      <c r="E16" s="162">
        <f>SUM(F16:F19)</f>
        <v>0</v>
      </c>
      <c r="F16" s="148">
        <f>SUM(D16:D17)</f>
        <v>0</v>
      </c>
    </row>
    <row r="17" spans="1:6" x14ac:dyDescent="0.25">
      <c r="A17" s="17" t="s">
        <v>71</v>
      </c>
      <c r="B17" s="2"/>
      <c r="C17" s="26" t="str">
        <f>IF('Site Readiness and Pre Checks'!E28="","",'Site Readiness and Pre Checks'!E28)</f>
        <v/>
      </c>
      <c r="D17">
        <f t="shared" si="0"/>
        <v>0</v>
      </c>
      <c r="E17" s="148"/>
      <c r="F17" s="148"/>
    </row>
    <row r="18" spans="1:6" x14ac:dyDescent="0.25">
      <c r="A18" s="17" t="s">
        <v>69</v>
      </c>
      <c r="B18" s="2"/>
      <c r="C18" s="26" t="str">
        <f>IF('Site Readiness and Pre Checks'!E27="","",'Site Readiness and Pre Checks'!E27)</f>
        <v/>
      </c>
      <c r="D18">
        <f t="shared" si="0"/>
        <v>0</v>
      </c>
      <c r="E18" s="148"/>
    </row>
    <row r="19" spans="1:6" x14ac:dyDescent="0.25">
      <c r="A19" s="17" t="s">
        <v>70</v>
      </c>
      <c r="B19" s="2"/>
      <c r="C19" s="26" t="str">
        <f>IF('Site Readiness and Pre Checks'!E29="","",'Site Readiness and Pre Checks'!E29)</f>
        <v/>
      </c>
      <c r="D19">
        <f t="shared" si="0"/>
        <v>0</v>
      </c>
      <c r="E19" s="148"/>
      <c r="F19" s="148">
        <f>SUM(D19:D20)</f>
        <v>0</v>
      </c>
    </row>
    <row r="20" spans="1:6" x14ac:dyDescent="0.25">
      <c r="A20" s="17" t="s">
        <v>72</v>
      </c>
      <c r="B20" s="2"/>
      <c r="C20" s="26" t="str">
        <f>IF('Site Readiness and Pre Checks'!E30="","",'Site Readiness and Pre Checks'!E30)</f>
        <v/>
      </c>
      <c r="D20">
        <f t="shared" si="0"/>
        <v>0</v>
      </c>
      <c r="E20" s="148"/>
      <c r="F20" s="148"/>
    </row>
    <row r="21" spans="1:6" x14ac:dyDescent="0.25">
      <c r="A21" s="31"/>
      <c r="B21" s="2"/>
      <c r="C21" s="29"/>
    </row>
    <row r="22" spans="1:6" x14ac:dyDescent="0.25">
      <c r="A22" s="14" t="s">
        <v>75</v>
      </c>
      <c r="B22" s="2"/>
      <c r="C22" s="29"/>
    </row>
    <row r="23" spans="1:6" x14ac:dyDescent="0.25">
      <c r="A23" s="19"/>
      <c r="B23" s="2"/>
      <c r="C23" s="29"/>
    </row>
    <row r="24" spans="1:6" x14ac:dyDescent="0.25">
      <c r="A24" s="17" t="s">
        <v>61</v>
      </c>
      <c r="B24" s="2"/>
      <c r="C24" s="26" t="str">
        <f>IF('Site Readiness and Pre Checks'!E26="","",'Site Readiness and Pre Checks'!E26)</f>
        <v/>
      </c>
      <c r="D24">
        <f>IF(C24="",0,1)</f>
        <v>0</v>
      </c>
      <c r="E24" s="162">
        <f>SUM(D24:D28)</f>
        <v>0</v>
      </c>
    </row>
    <row r="25" spans="1:6" x14ac:dyDescent="0.25">
      <c r="A25" s="17" t="s">
        <v>78</v>
      </c>
      <c r="B25" s="2"/>
      <c r="C25" s="26" t="str">
        <f>IF('Site Readiness and Pre Checks'!E35="","",'Site Readiness and Pre Checks'!E35)</f>
        <v/>
      </c>
      <c r="D25">
        <f>IF(C25="",0,1)</f>
        <v>0</v>
      </c>
      <c r="E25" s="148"/>
    </row>
    <row r="26" spans="1:6" x14ac:dyDescent="0.25">
      <c r="A26" s="17" t="s">
        <v>79</v>
      </c>
      <c r="B26" s="2"/>
      <c r="C26" s="26" t="str">
        <f>IF('Site Readiness and Pre Checks'!E36="","",'Site Readiness and Pre Checks'!E36)</f>
        <v/>
      </c>
      <c r="D26">
        <f>IF(C26="",0,1)</f>
        <v>0</v>
      </c>
      <c r="E26" s="148"/>
    </row>
    <row r="27" spans="1:6" x14ac:dyDescent="0.25">
      <c r="A27" s="17" t="s">
        <v>77</v>
      </c>
      <c r="B27" s="2"/>
      <c r="C27" s="26" t="str">
        <f>IF('Site Readiness and Pre Checks'!E37="","",'Site Readiness and Pre Checks'!E37)</f>
        <v/>
      </c>
      <c r="D27">
        <f>IF(C27="",0,1)</f>
        <v>0</v>
      </c>
      <c r="E27" s="148"/>
    </row>
    <row r="28" spans="1:6" x14ac:dyDescent="0.25">
      <c r="A28" s="17" t="s">
        <v>80</v>
      </c>
      <c r="B28" s="2"/>
      <c r="C28" s="26" t="str">
        <f>IF('Site Readiness and Pre Checks'!E38="","",'Site Readiness and Pre Checks'!E38)</f>
        <v/>
      </c>
      <c r="D28">
        <f>IF(C28="",0,1)</f>
        <v>0</v>
      </c>
      <c r="E28" s="148"/>
    </row>
    <row r="29" spans="1:6" x14ac:dyDescent="0.25">
      <c r="A29" s="31"/>
      <c r="B29" s="2"/>
      <c r="C29" s="29"/>
    </row>
    <row r="30" spans="1:6" x14ac:dyDescent="0.25">
      <c r="A30" s="14" t="s">
        <v>76</v>
      </c>
      <c r="B30" s="30"/>
      <c r="C30" s="29"/>
    </row>
    <row r="31" spans="1:6" x14ac:dyDescent="0.25">
      <c r="A31" s="31"/>
      <c r="B31" s="30"/>
      <c r="C31" s="29"/>
    </row>
    <row r="32" spans="1:6" x14ac:dyDescent="0.25">
      <c r="A32" s="17" t="s">
        <v>63</v>
      </c>
      <c r="B32" s="2"/>
      <c r="C32" s="26" t="str">
        <f>IF('Site Readiness and Pre Checks'!E42="","",'Site Readiness and Pre Checks'!E42)</f>
        <v/>
      </c>
      <c r="D32">
        <f t="shared" ref="D32:D40" si="1">IF(C32="",0,1)</f>
        <v>0</v>
      </c>
      <c r="E32" s="162">
        <f>SUM(D32:D37)</f>
        <v>0</v>
      </c>
    </row>
    <row r="33" spans="1:5" x14ac:dyDescent="0.25">
      <c r="A33" s="17" t="s">
        <v>62</v>
      </c>
      <c r="B33" s="2"/>
      <c r="C33" s="26" t="str">
        <f>IF('Site Readiness and Pre Checks'!E44="","",'Site Readiness and Pre Checks'!E44)</f>
        <v/>
      </c>
      <c r="D33">
        <f t="shared" si="1"/>
        <v>0</v>
      </c>
      <c r="E33" s="162"/>
    </row>
    <row r="34" spans="1:5" x14ac:dyDescent="0.25">
      <c r="A34" s="17" t="s">
        <v>30</v>
      </c>
      <c r="B34" s="2"/>
      <c r="C34" s="26" t="str">
        <f>IF('Site Readiness and Pre Checks'!E45="","",'Site Readiness and Pre Checks'!E45)</f>
        <v/>
      </c>
      <c r="D34">
        <f t="shared" si="1"/>
        <v>0</v>
      </c>
      <c r="E34" s="162"/>
    </row>
    <row r="35" spans="1:5" x14ac:dyDescent="0.25">
      <c r="A35" s="17" t="s">
        <v>32</v>
      </c>
      <c r="B35" s="2"/>
      <c r="C35" s="26" t="str">
        <f>IF('Site Readiness and Pre Checks'!E46="","",'Site Readiness and Pre Checks'!E46)</f>
        <v/>
      </c>
      <c r="D35">
        <f t="shared" si="1"/>
        <v>0</v>
      </c>
      <c r="E35" s="162"/>
    </row>
    <row r="36" spans="1:5" x14ac:dyDescent="0.25">
      <c r="A36" s="17" t="s">
        <v>36</v>
      </c>
      <c r="B36" s="2"/>
      <c r="C36" s="26" t="str">
        <f>IF('Site Readiness and Pre Checks'!E47="","",'Site Readiness and Pre Checks'!E47)</f>
        <v/>
      </c>
      <c r="D36">
        <f t="shared" si="1"/>
        <v>0</v>
      </c>
      <c r="E36" s="162"/>
    </row>
    <row r="37" spans="1:5" x14ac:dyDescent="0.25">
      <c r="A37" s="17" t="s">
        <v>37</v>
      </c>
      <c r="B37" s="2"/>
      <c r="C37" s="26" t="str">
        <f>IF('Site Readiness and Pre Checks'!E48="","",'Site Readiness and Pre Checks'!E48)</f>
        <v/>
      </c>
      <c r="D37">
        <f t="shared" si="1"/>
        <v>0</v>
      </c>
      <c r="E37" s="162"/>
    </row>
    <row r="38" spans="1:5" x14ac:dyDescent="0.25">
      <c r="A38" s="17" t="s">
        <v>34</v>
      </c>
      <c r="B38" s="2"/>
      <c r="C38" s="26" t="str">
        <f>IF('Site Readiness and Pre Checks'!E49="","",'Site Readiness and Pre Checks'!E49)</f>
        <v/>
      </c>
      <c r="D38">
        <f>IF(C38="No",0,1)</f>
        <v>1</v>
      </c>
      <c r="E38" s="162">
        <f>IF(C38="Yes",SUM(D32:D40),SUM(D32:D37))</f>
        <v>0</v>
      </c>
    </row>
    <row r="39" spans="1:5" x14ac:dyDescent="0.25">
      <c r="A39" s="17" t="s">
        <v>33</v>
      </c>
      <c r="B39" s="2"/>
      <c r="C39" s="26" t="str">
        <f>IF('Site Readiness and Pre Checks'!E50="","",'Site Readiness and Pre Checks'!E50)</f>
        <v/>
      </c>
      <c r="D39">
        <f t="shared" si="1"/>
        <v>0</v>
      </c>
      <c r="E39" s="162"/>
    </row>
    <row r="40" spans="1:5" x14ac:dyDescent="0.25">
      <c r="A40" s="17" t="s">
        <v>35</v>
      </c>
      <c r="B40" s="2"/>
      <c r="C40" s="26" t="str">
        <f>IF('Site Readiness and Pre Checks'!E51="","",'Site Readiness and Pre Checks'!E51)</f>
        <v/>
      </c>
      <c r="D40">
        <f t="shared" si="1"/>
        <v>0</v>
      </c>
      <c r="E40" s="162"/>
    </row>
    <row r="41" spans="1:5" x14ac:dyDescent="0.25">
      <c r="A41" s="20"/>
      <c r="B41" s="2"/>
      <c r="C41" s="33"/>
    </row>
    <row r="42" spans="1:5" x14ac:dyDescent="0.25">
      <c r="A42" s="15" t="s">
        <v>73</v>
      </c>
      <c r="B42" s="2"/>
      <c r="C42" s="34"/>
    </row>
    <row r="43" spans="1:5" x14ac:dyDescent="0.25">
      <c r="A43" s="20"/>
      <c r="B43" s="2"/>
      <c r="C43" s="35"/>
    </row>
    <row r="44" spans="1:5" x14ac:dyDescent="0.25">
      <c r="A44" s="17" t="s">
        <v>55</v>
      </c>
      <c r="B44" s="2"/>
      <c r="C44" s="26" t="str">
        <f>IF('Site Readiness and Pre Checks'!E55="","",'Site Readiness and Pre Checks'!E55)</f>
        <v/>
      </c>
      <c r="D44">
        <f>IF(C44="",0,1)</f>
        <v>0</v>
      </c>
      <c r="E44" s="169">
        <f>SUM(D44:D47)</f>
        <v>0</v>
      </c>
    </row>
    <row r="45" spans="1:5" x14ac:dyDescent="0.25">
      <c r="A45" s="17" t="s">
        <v>31</v>
      </c>
      <c r="B45" s="2"/>
      <c r="C45" s="26" t="str">
        <f>IF('Site Readiness and Pre Checks'!E56="","",'Site Readiness and Pre Checks'!E56)</f>
        <v/>
      </c>
      <c r="D45">
        <f>IF(C45="",0,1)</f>
        <v>0</v>
      </c>
      <c r="E45" s="169"/>
    </row>
    <row r="46" spans="1:5" x14ac:dyDescent="0.25">
      <c r="A46" s="17" t="s">
        <v>30</v>
      </c>
      <c r="B46" s="2"/>
      <c r="C46" s="26" t="str">
        <f>IF('Site Readiness and Pre Checks'!E57="","",'Site Readiness and Pre Checks'!E57)</f>
        <v/>
      </c>
      <c r="D46">
        <f>IF(C46="",0,1)</f>
        <v>0</v>
      </c>
      <c r="E46" s="169"/>
    </row>
    <row r="47" spans="1:5" x14ac:dyDescent="0.25">
      <c r="A47" s="17" t="s">
        <v>32</v>
      </c>
      <c r="B47" s="2"/>
      <c r="C47" s="26" t="str">
        <f>IF('Site Readiness and Pre Checks'!E58="","",'Site Readiness and Pre Checks'!E58)</f>
        <v/>
      </c>
      <c r="D47">
        <f>IF(C47="",0,1)</f>
        <v>0</v>
      </c>
      <c r="E47" s="169"/>
    </row>
    <row r="48" spans="1:5" x14ac:dyDescent="0.25">
      <c r="A48" s="31"/>
      <c r="B48" s="2"/>
      <c r="C48" s="36"/>
    </row>
    <row r="49" spans="1:11" x14ac:dyDescent="0.25">
      <c r="A49" s="15" t="s">
        <v>64</v>
      </c>
      <c r="B49" s="2"/>
      <c r="C49" s="29"/>
    </row>
    <row r="50" spans="1:11" x14ac:dyDescent="0.25">
      <c r="A50" s="20"/>
      <c r="B50" s="2"/>
      <c r="C50" s="37"/>
    </row>
    <row r="51" spans="1:11" x14ac:dyDescent="0.25">
      <c r="A51" s="17" t="s">
        <v>38</v>
      </c>
      <c r="B51" s="2"/>
      <c r="C51" s="26" t="str">
        <f>'Systems Configuration Workbook'!E56</f>
        <v>Turn OFF HQ communication</v>
      </c>
      <c r="I51" t="str">
        <f>IF('Site Readiness and Pre Checks'!E62="","",IF('Site Readiness and Pre Checks'!E62="Yes",1,0))</f>
        <v/>
      </c>
      <c r="J51" t="str">
        <f>IF('Site Readiness and Pre Checks'!E63="","",IF('Site Readiness and Pre Checks'!E63="Yes",1,0))</f>
        <v/>
      </c>
      <c r="K51">
        <f>SUM(I51:J51)</f>
        <v>0</v>
      </c>
    </row>
    <row r="52" spans="1:11" x14ac:dyDescent="0.25">
      <c r="A52" s="17" t="s">
        <v>39</v>
      </c>
      <c r="B52" s="2"/>
      <c r="C52" s="26" t="str">
        <f>IF('Site Readiness and Pre Checks'!E67="","",'Site Readiness and Pre Checks'!E67)</f>
        <v/>
      </c>
      <c r="D52">
        <f>IF(C52="",0,1)</f>
        <v>0</v>
      </c>
      <c r="F52">
        <f>IF(C52="No",1,IF(I53=3,IF(F56=1,1,0),0))</f>
        <v>0</v>
      </c>
    </row>
    <row r="53" spans="1:11" x14ac:dyDescent="0.25">
      <c r="A53" s="17" t="s">
        <v>40</v>
      </c>
      <c r="B53" s="2"/>
      <c r="C53" s="26" t="str">
        <f>IF('Site Readiness and Pre Checks'!E68="","",'Site Readiness and Pre Checks'!E68)</f>
        <v/>
      </c>
      <c r="D53">
        <f>IF(C53="",0,1)</f>
        <v>0</v>
      </c>
      <c r="E53" t="str">
        <f>IF(C52="No","not needed","")</f>
        <v/>
      </c>
      <c r="I53" s="168">
        <f>SUM(D53:D55)</f>
        <v>0</v>
      </c>
    </row>
    <row r="54" spans="1:11" x14ac:dyDescent="0.25">
      <c r="A54" s="17" t="s">
        <v>41</v>
      </c>
      <c r="B54" s="2"/>
      <c r="C54" s="26" t="str">
        <f>IF('Site Readiness and Pre Checks'!E69="","",'Site Readiness and Pre Checks'!E69)</f>
        <v/>
      </c>
      <c r="D54">
        <f t="shared" ref="D54:D58" si="2">IF(C54="",0,1)</f>
        <v>0</v>
      </c>
      <c r="E54" t="str">
        <f>IF(C52="No","not needed","")</f>
        <v/>
      </c>
      <c r="I54" s="168"/>
    </row>
    <row r="55" spans="1:11" x14ac:dyDescent="0.25">
      <c r="A55" s="17" t="s">
        <v>42</v>
      </c>
      <c r="B55" s="2"/>
      <c r="C55" s="26" t="str">
        <f>IF('Site Readiness and Pre Checks'!E70="","",'Site Readiness and Pre Checks'!E70)</f>
        <v/>
      </c>
      <c r="D55">
        <f t="shared" si="2"/>
        <v>0</v>
      </c>
      <c r="E55" t="str">
        <f>IF(C52="No","not needed","")</f>
        <v/>
      </c>
      <c r="I55" s="168"/>
    </row>
    <row r="56" spans="1:11" x14ac:dyDescent="0.25">
      <c r="A56" s="17" t="s">
        <v>43</v>
      </c>
      <c r="B56" s="2"/>
      <c r="C56" s="26" t="str">
        <f>IF('Site Readiness and Pre Checks'!E71="","",'Site Readiness and Pre Checks'!E71)</f>
        <v/>
      </c>
      <c r="D56">
        <f t="shared" si="2"/>
        <v>0</v>
      </c>
      <c r="E56" t="str">
        <f>IF(C52="No","not needed","")</f>
        <v/>
      </c>
      <c r="F56">
        <f>IF(C56="No",1,IF(I57=2,1,0))</f>
        <v>0</v>
      </c>
    </row>
    <row r="57" spans="1:11" x14ac:dyDescent="0.25">
      <c r="A57" s="17" t="s">
        <v>44</v>
      </c>
      <c r="B57" s="2"/>
      <c r="C57" s="26" t="str">
        <f>IF('Site Readiness and Pre Checks'!E72="","",'Site Readiness and Pre Checks'!E72)</f>
        <v/>
      </c>
      <c r="D57">
        <f t="shared" si="2"/>
        <v>0</v>
      </c>
      <c r="E57" t="str">
        <f>IF(C52="No","not needed","")</f>
        <v/>
      </c>
      <c r="I57" s="162">
        <f>SUM(D57:D58)</f>
        <v>0</v>
      </c>
    </row>
    <row r="58" spans="1:11" x14ac:dyDescent="0.25">
      <c r="A58" s="17" t="s">
        <v>45</v>
      </c>
      <c r="B58" s="2"/>
      <c r="C58" s="26" t="str">
        <f>IF('Site Readiness and Pre Checks'!E73="","",'Site Readiness and Pre Checks'!E73)</f>
        <v/>
      </c>
      <c r="D58">
        <f t="shared" si="2"/>
        <v>0</v>
      </c>
      <c r="E58" t="str">
        <f>IF(C52="No","not needed","")</f>
        <v/>
      </c>
      <c r="I58" s="162"/>
    </row>
    <row r="59" spans="1:11" x14ac:dyDescent="0.25">
      <c r="A59" s="17" t="s">
        <v>46</v>
      </c>
      <c r="B59" s="2"/>
      <c r="C59" s="26" t="str">
        <f>IF('Site Readiness and Pre Checks'!E74="","",'Site Readiness and Pre Checks'!E74)</f>
        <v/>
      </c>
    </row>
    <row r="60" spans="1:11" x14ac:dyDescent="0.25">
      <c r="A60" s="21" t="s">
        <v>0</v>
      </c>
      <c r="B60" s="2"/>
      <c r="C60" s="36"/>
    </row>
    <row r="61" spans="1:11" x14ac:dyDescent="0.25">
      <c r="A61" s="21"/>
      <c r="B61" s="2"/>
      <c r="C61" s="29"/>
    </row>
    <row r="62" spans="1:11" x14ac:dyDescent="0.25">
      <c r="A62" s="15" t="s">
        <v>8</v>
      </c>
      <c r="B62" s="2"/>
      <c r="C62" s="29"/>
    </row>
    <row r="63" spans="1:11" x14ac:dyDescent="0.25">
      <c r="A63" s="20"/>
      <c r="B63" s="2"/>
      <c r="C63" s="37"/>
    </row>
    <row r="64" spans="1:11" x14ac:dyDescent="0.25">
      <c r="A64" s="17" t="s">
        <v>47</v>
      </c>
      <c r="B64" s="2"/>
      <c r="C64" s="26">
        <f>'Site Readiness and Pre Checks'!E76</f>
        <v>0</v>
      </c>
    </row>
    <row r="65" spans="1:4" x14ac:dyDescent="0.25">
      <c r="A65" s="17" t="s">
        <v>48</v>
      </c>
      <c r="B65" s="2"/>
      <c r="C65" s="26">
        <f>'Site Readiness and Pre Checks'!E77</f>
        <v>0</v>
      </c>
    </row>
    <row r="66" spans="1:4" x14ac:dyDescent="0.25">
      <c r="A66" s="17" t="s">
        <v>49</v>
      </c>
      <c r="B66" s="2"/>
      <c r="C66" s="26">
        <f>'Site Readiness and Pre Checks'!E78</f>
        <v>0</v>
      </c>
    </row>
    <row r="68" spans="1:4" x14ac:dyDescent="0.25">
      <c r="A68" s="70" t="s">
        <v>109</v>
      </c>
      <c r="B68" s="2"/>
      <c r="C68" s="41" t="str">
        <f>IF('Site Readiness and Pre Checks'!E80="","",'Site Readiness and Pre Checks'!E80)</f>
        <v/>
      </c>
      <c r="D68">
        <f>IF(C68="",0,IF(C68="No",0,1))</f>
        <v>0</v>
      </c>
    </row>
    <row r="71" spans="1:4" x14ac:dyDescent="0.25">
      <c r="A71" s="17" t="s">
        <v>142</v>
      </c>
      <c r="B71" s="2"/>
      <c r="C71" s="41" t="str">
        <f>IF('Site Readiness and Pre Checks'!E23="","",'Site Readiness and Pre Checks'!E23)</f>
        <v/>
      </c>
      <c r="D71" s="2">
        <f>IF('Site Readiness and Pre Checks'!E23="",0,1)</f>
        <v>0</v>
      </c>
    </row>
    <row r="72" spans="1:4" x14ac:dyDescent="0.25">
      <c r="A72" s="17" t="s">
        <v>145</v>
      </c>
      <c r="B72" s="2"/>
      <c r="C72" s="115" t="str">
        <f>IF('Site Readiness and Pre Checks'!E25="","",'Site Readiness and Pre Checks'!E25)</f>
        <v/>
      </c>
      <c r="D72">
        <f>IF('Site Readiness and Pre Checks'!E25="",0,1)</f>
        <v>0</v>
      </c>
    </row>
  </sheetData>
  <mergeCells count="14">
    <mergeCell ref="I53:I55"/>
    <mergeCell ref="I57:I58"/>
    <mergeCell ref="E44:E47"/>
    <mergeCell ref="E24:E28"/>
    <mergeCell ref="E32:E37"/>
    <mergeCell ref="E38:E40"/>
    <mergeCell ref="E16:E20"/>
    <mergeCell ref="F16:F17"/>
    <mergeCell ref="F19:F20"/>
    <mergeCell ref="H4:I5"/>
    <mergeCell ref="H6:I7"/>
    <mergeCell ref="E4:E5"/>
    <mergeCell ref="E7:E8"/>
    <mergeCell ref="E10:E14"/>
  </mergeCells>
  <conditionalFormatting sqref="E10:E14">
    <cfRule type="expression" dxfId="28" priority="20">
      <formula>$E$10=4</formula>
    </cfRule>
  </conditionalFormatting>
  <conditionalFormatting sqref="E16:E20">
    <cfRule type="expression" dxfId="27" priority="18">
      <formula>$E$16=4</formula>
    </cfRule>
  </conditionalFormatting>
  <conditionalFormatting sqref="E24:E28">
    <cfRule type="expression" dxfId="26" priority="16">
      <formula>$E$24=5</formula>
    </cfRule>
  </conditionalFormatting>
  <conditionalFormatting sqref="E4:E5">
    <cfRule type="expression" dxfId="25" priority="15">
      <formula>$E$4=2</formula>
    </cfRule>
  </conditionalFormatting>
  <conditionalFormatting sqref="E7:E8">
    <cfRule type="expression" dxfId="24" priority="14">
      <formula>$E$7=2</formula>
    </cfRule>
  </conditionalFormatting>
  <conditionalFormatting sqref="E32:E37">
    <cfRule type="expression" dxfId="23" priority="13">
      <formula>$E$32=6</formula>
    </cfRule>
  </conditionalFormatting>
  <conditionalFormatting sqref="E38:E40">
    <cfRule type="expression" dxfId="22" priority="12">
      <formula>$E$38=9</formula>
    </cfRule>
  </conditionalFormatting>
  <conditionalFormatting sqref="E44:E47">
    <cfRule type="expression" dxfId="21" priority="11">
      <formula>$E$44=4</formula>
    </cfRule>
  </conditionalFormatting>
  <conditionalFormatting sqref="A71">
    <cfRule type="expression" dxfId="20" priority="9">
      <formula>IF($E$21="Partner Order","Partner Sales order number(s):","HP Sales order number(s):")</formula>
    </cfRule>
  </conditionalFormatting>
  <conditionalFormatting sqref="C71">
    <cfRule type="expression" dxfId="19" priority="8">
      <formula>$C$71=""</formula>
    </cfRule>
  </conditionalFormatting>
  <conditionalFormatting sqref="A72">
    <cfRule type="expression" dxfId="18" priority="7">
      <formula>IF($E$21="Partner Order","Partner Sales order number(s):","HP Sales order number(s):")</formula>
    </cfRule>
  </conditionalFormatting>
  <conditionalFormatting sqref="C72">
    <cfRule type="expression" dxfId="17" priority="6">
      <formula>$C$72=""</formula>
    </cfRule>
  </conditionalFormatting>
  <conditionalFormatting sqref="E52">
    <cfRule type="expression" dxfId="16" priority="5">
      <formula>$C$52="No"</formula>
    </cfRule>
  </conditionalFormatting>
  <conditionalFormatting sqref="I53:I55">
    <cfRule type="expression" dxfId="15" priority="4">
      <formula>$I$53=3</formula>
    </cfRule>
  </conditionalFormatting>
  <conditionalFormatting sqref="F52">
    <cfRule type="expression" dxfId="14" priority="3">
      <formula>$F$52=1</formula>
    </cfRule>
  </conditionalFormatting>
  <conditionalFormatting sqref="F56">
    <cfRule type="expression" dxfId="13" priority="2">
      <formula>$F$56=1</formula>
    </cfRule>
  </conditionalFormatting>
  <conditionalFormatting sqref="I57:I58">
    <cfRule type="expression" dxfId="12" priority="1">
      <formula>$I$57=2</formula>
    </cfRule>
  </conditionalFormatting>
  <hyperlinks>
    <hyperlink ref="A68" location="'Customer obligations'!A3" display="Have you completed all items in the customer obligations tab"/>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K72"/>
  <sheetViews>
    <sheetView showGridLines="0" showRowColHeaders="0" zoomScale="110" zoomScaleNormal="110" workbookViewId="0">
      <selection activeCell="H4" sqref="H4:I5"/>
    </sheetView>
  </sheetViews>
  <sheetFormatPr defaultRowHeight="15" x14ac:dyDescent="0.25"/>
  <cols>
    <col min="1" max="1" width="60.42578125" customWidth="1"/>
    <col min="2" max="2" width="0.5703125" customWidth="1"/>
    <col min="3" max="3" width="32.7109375" customWidth="1"/>
  </cols>
  <sheetData>
    <row r="2" spans="1:9" x14ac:dyDescent="0.25">
      <c r="A2" s="13" t="s">
        <v>85</v>
      </c>
      <c r="B2" s="12"/>
      <c r="C2" s="24"/>
    </row>
    <row r="3" spans="1:9" x14ac:dyDescent="0.25">
      <c r="A3" s="16"/>
      <c r="B3" s="12"/>
      <c r="C3" s="28"/>
    </row>
    <row r="4" spans="1:9" x14ac:dyDescent="0.25">
      <c r="A4" s="17" t="s">
        <v>81</v>
      </c>
      <c r="B4" s="2"/>
      <c r="C4" s="26" t="str">
        <f>IF('Site Readiness and Pre Check P'!E9="","",'Site Readiness and Pre Check P'!E9)</f>
        <v/>
      </c>
      <c r="D4">
        <f>IF(C4="",0,1)</f>
        <v>0</v>
      </c>
      <c r="E4" s="162">
        <f>SUM(D4:D5)</f>
        <v>0</v>
      </c>
      <c r="H4" s="163">
        <f>E4+E7+E10+E16+E24+E32+E44+D68+D71+D72</f>
        <v>0</v>
      </c>
      <c r="I4" s="164"/>
    </row>
    <row r="5" spans="1:9" x14ac:dyDescent="0.25">
      <c r="A5" s="17" t="s">
        <v>82</v>
      </c>
      <c r="B5" s="2"/>
      <c r="C5" s="26" t="str">
        <f>IF('Site Readiness and Pre Check P'!E10="","",'Site Readiness and Pre Check P'!E10)</f>
        <v/>
      </c>
      <c r="D5">
        <f>IF(C5="",0,1)</f>
        <v>0</v>
      </c>
      <c r="E5" s="162"/>
      <c r="H5" s="165"/>
      <c r="I5" s="166"/>
    </row>
    <row r="6" spans="1:9" x14ac:dyDescent="0.25">
      <c r="A6" s="16"/>
      <c r="B6" s="12"/>
      <c r="C6" s="29"/>
      <c r="H6" s="167" t="str">
        <f>IF(H4=30,"Green","Red")</f>
        <v>Red</v>
      </c>
      <c r="I6" s="167"/>
    </row>
    <row r="7" spans="1:9" x14ac:dyDescent="0.25">
      <c r="A7" s="17" t="s">
        <v>74</v>
      </c>
      <c r="B7" s="2"/>
      <c r="C7" s="26" t="str">
        <f>IF('Site Readiness and Pre Check P'!E12="","",'Site Readiness and Pre Check P'!E12)</f>
        <v/>
      </c>
      <c r="D7">
        <f t="shared" ref="D7:D20" si="0">IF(C7="",0,1)</f>
        <v>0</v>
      </c>
      <c r="E7" s="162">
        <f>SUM(D7:D8)</f>
        <v>0</v>
      </c>
      <c r="H7" s="148"/>
      <c r="I7" s="148"/>
    </row>
    <row r="8" spans="1:9" x14ac:dyDescent="0.25">
      <c r="A8" s="17" t="s">
        <v>66</v>
      </c>
      <c r="B8" s="2"/>
      <c r="C8" s="26" t="str">
        <f>IF('Site Readiness and Pre Check P'!E13="","",'Site Readiness and Pre Check P'!E13)</f>
        <v/>
      </c>
      <c r="D8">
        <f t="shared" si="0"/>
        <v>0</v>
      </c>
      <c r="E8" s="162"/>
    </row>
    <row r="9" spans="1:9" x14ac:dyDescent="0.25">
      <c r="A9" s="20"/>
      <c r="B9" s="2"/>
      <c r="C9" s="32"/>
    </row>
    <row r="10" spans="1:9" x14ac:dyDescent="0.25">
      <c r="A10" s="17" t="s">
        <v>67</v>
      </c>
      <c r="B10" s="2"/>
      <c r="C10" s="26" t="str">
        <f>IF('Site Readiness and Pre Check P'!E15="","",'Site Readiness and Pre Check P'!E15)</f>
        <v/>
      </c>
      <c r="D10">
        <f t="shared" si="0"/>
        <v>0</v>
      </c>
      <c r="E10" s="162">
        <f>SUM(D10:D13)</f>
        <v>0</v>
      </c>
    </row>
    <row r="11" spans="1:9" x14ac:dyDescent="0.25">
      <c r="A11" s="109"/>
      <c r="B11" s="2"/>
      <c r="C11" s="26" t="str">
        <f>IF('Site Readiness and Pre Check P'!E16="","",'Site Readiness and Pre Check P'!E16)</f>
        <v/>
      </c>
      <c r="D11">
        <f t="shared" si="0"/>
        <v>0</v>
      </c>
      <c r="E11" s="148"/>
    </row>
    <row r="12" spans="1:9" x14ac:dyDescent="0.25">
      <c r="A12" s="109"/>
      <c r="B12" s="2"/>
      <c r="C12" s="26" t="str">
        <f>IF('Site Readiness and Pre Check P'!E17="","",'Site Readiness and Pre Check P'!E17)</f>
        <v/>
      </c>
      <c r="D12">
        <f t="shared" si="0"/>
        <v>0</v>
      </c>
      <c r="E12" s="148"/>
    </row>
    <row r="13" spans="1:9" x14ac:dyDescent="0.25">
      <c r="A13" s="109"/>
      <c r="B13" s="2"/>
      <c r="C13" s="26" t="str">
        <f>IF('Site Readiness and Pre Check P'!E18="","",'Site Readiness and Pre Check P'!E18)</f>
        <v/>
      </c>
      <c r="D13">
        <f t="shared" si="0"/>
        <v>0</v>
      </c>
      <c r="E13" s="148"/>
    </row>
    <row r="14" spans="1:9" x14ac:dyDescent="0.25">
      <c r="A14" s="16"/>
      <c r="B14" s="12"/>
      <c r="C14" s="26" t="str">
        <f>IF('Site Readiness and Pre Check P'!E19="","",'Site Readiness and Pre Check P'!E19)</f>
        <v/>
      </c>
      <c r="D14">
        <f t="shared" si="0"/>
        <v>0</v>
      </c>
      <c r="E14" s="148"/>
    </row>
    <row r="15" spans="1:9" x14ac:dyDescent="0.25">
      <c r="A15" s="16"/>
      <c r="B15" s="12"/>
      <c r="C15" s="32"/>
    </row>
    <row r="16" spans="1:9" x14ac:dyDescent="0.25">
      <c r="A16" s="17" t="s">
        <v>68</v>
      </c>
      <c r="B16" s="2"/>
      <c r="C16" s="26" t="str">
        <f>IF('Site Readiness and Pre Check P'!E22="","",'Site Readiness and Pre Check P'!E22)</f>
        <v/>
      </c>
      <c r="D16">
        <f t="shared" si="0"/>
        <v>0</v>
      </c>
      <c r="E16" s="162">
        <f>SUM(F16:F19)</f>
        <v>0</v>
      </c>
      <c r="F16" s="148">
        <f>SUM(D16:D17)</f>
        <v>0</v>
      </c>
    </row>
    <row r="17" spans="1:6" x14ac:dyDescent="0.25">
      <c r="A17" s="17" t="s">
        <v>71</v>
      </c>
      <c r="B17" s="2"/>
      <c r="C17" s="26" t="str">
        <f>IF('Site Readiness and Pre Check P'!E28="","",'Site Readiness and Pre Check P'!E28)</f>
        <v/>
      </c>
      <c r="D17">
        <f t="shared" si="0"/>
        <v>0</v>
      </c>
      <c r="E17" s="148"/>
      <c r="F17" s="148"/>
    </row>
    <row r="18" spans="1:6" x14ac:dyDescent="0.25">
      <c r="A18" s="17" t="s">
        <v>69</v>
      </c>
      <c r="B18" s="2"/>
      <c r="C18" s="26" t="str">
        <f>IF('Site Readiness and Pre Check P'!E27="","",'Site Readiness and Pre Check P'!E27)</f>
        <v/>
      </c>
      <c r="D18">
        <f t="shared" si="0"/>
        <v>0</v>
      </c>
      <c r="E18" s="148"/>
    </row>
    <row r="19" spans="1:6" x14ac:dyDescent="0.25">
      <c r="A19" s="17" t="s">
        <v>70</v>
      </c>
      <c r="B19" s="2"/>
      <c r="C19" s="26" t="str">
        <f>IF('Site Readiness and Pre Check P'!E29="","",'Site Readiness and Pre Check P'!E29)</f>
        <v/>
      </c>
      <c r="D19">
        <f t="shared" si="0"/>
        <v>0</v>
      </c>
      <c r="E19" s="148"/>
      <c r="F19" s="148">
        <f>SUM(D19:D20)</f>
        <v>0</v>
      </c>
    </row>
    <row r="20" spans="1:6" x14ac:dyDescent="0.25">
      <c r="A20" s="17" t="s">
        <v>72</v>
      </c>
      <c r="B20" s="2"/>
      <c r="C20" s="26" t="str">
        <f>IF('Site Readiness and Pre Check P'!E30="","",'Site Readiness and Pre Check P'!E30)</f>
        <v/>
      </c>
      <c r="D20">
        <f t="shared" si="0"/>
        <v>0</v>
      </c>
      <c r="E20" s="148"/>
      <c r="F20" s="148"/>
    </row>
    <row r="21" spans="1:6" x14ac:dyDescent="0.25">
      <c r="A21" s="109"/>
      <c r="B21" s="2"/>
      <c r="C21" s="29"/>
    </row>
    <row r="22" spans="1:6" x14ac:dyDescent="0.25">
      <c r="A22" s="14" t="s">
        <v>75</v>
      </c>
      <c r="B22" s="2"/>
      <c r="C22" s="29"/>
    </row>
    <row r="23" spans="1:6" x14ac:dyDescent="0.25">
      <c r="A23" s="19"/>
      <c r="B23" s="2"/>
      <c r="C23" s="29"/>
    </row>
    <row r="24" spans="1:6" x14ac:dyDescent="0.25">
      <c r="A24" s="17" t="s">
        <v>61</v>
      </c>
      <c r="B24" s="2"/>
      <c r="C24" s="26" t="str">
        <f>IF('Site Readiness and Pre Check P'!E26="","",'Site Readiness and Pre Check P'!E26)</f>
        <v/>
      </c>
      <c r="D24">
        <f>IF(C24="",0,1)</f>
        <v>0</v>
      </c>
      <c r="E24" s="162">
        <f>SUM(D24:D28)</f>
        <v>0</v>
      </c>
    </row>
    <row r="25" spans="1:6" x14ac:dyDescent="0.25">
      <c r="A25" s="17" t="s">
        <v>78</v>
      </c>
      <c r="B25" s="2"/>
      <c r="C25" s="26" t="str">
        <f>IF('Site Readiness and Pre Check P'!E35="","",'Site Readiness and Pre Check P'!E35)</f>
        <v/>
      </c>
      <c r="D25">
        <f>IF(C25="",0,1)</f>
        <v>0</v>
      </c>
      <c r="E25" s="148"/>
    </row>
    <row r="26" spans="1:6" x14ac:dyDescent="0.25">
      <c r="A26" s="17" t="s">
        <v>79</v>
      </c>
      <c r="B26" s="2"/>
      <c r="C26" s="26" t="str">
        <f>IF('Site Readiness and Pre Check P'!E36="","",'Site Readiness and Pre Check P'!E36)</f>
        <v/>
      </c>
      <c r="D26">
        <f>IF(C26="",0,1)</f>
        <v>0</v>
      </c>
      <c r="E26" s="148"/>
    </row>
    <row r="27" spans="1:6" x14ac:dyDescent="0.25">
      <c r="A27" s="17" t="s">
        <v>77</v>
      </c>
      <c r="B27" s="2"/>
      <c r="C27" s="26" t="str">
        <f>IF('Site Readiness and Pre Check P'!E37="","",'Site Readiness and Pre Check P'!E37)</f>
        <v/>
      </c>
      <c r="D27">
        <f>IF(C27="",0,1)</f>
        <v>0</v>
      </c>
      <c r="E27" s="148"/>
    </row>
    <row r="28" spans="1:6" x14ac:dyDescent="0.25">
      <c r="A28" s="17" t="s">
        <v>80</v>
      </c>
      <c r="B28" s="2"/>
      <c r="C28" s="26" t="str">
        <f>IF('Site Readiness and Pre Check P'!E38="","",'Site Readiness and Pre Check P'!E38)</f>
        <v/>
      </c>
      <c r="D28">
        <f>IF(C28="",0,1)</f>
        <v>0</v>
      </c>
      <c r="E28" s="148"/>
    </row>
    <row r="29" spans="1:6" x14ac:dyDescent="0.25">
      <c r="A29" s="109"/>
      <c r="B29" s="2"/>
      <c r="C29" s="29"/>
    </row>
    <row r="30" spans="1:6" x14ac:dyDescent="0.25">
      <c r="A30" s="14" t="s">
        <v>76</v>
      </c>
      <c r="B30" s="106"/>
      <c r="C30" s="29"/>
    </row>
    <row r="31" spans="1:6" x14ac:dyDescent="0.25">
      <c r="A31" s="109"/>
      <c r="B31" s="106"/>
      <c r="C31" s="29"/>
    </row>
    <row r="32" spans="1:6" x14ac:dyDescent="0.25">
      <c r="A32" s="17" t="s">
        <v>63</v>
      </c>
      <c r="B32" s="2"/>
      <c r="C32" s="26" t="str">
        <f>IF('Site Readiness and Pre Check P'!E42="","",'Site Readiness and Pre Check P'!E42)</f>
        <v/>
      </c>
      <c r="D32">
        <f t="shared" ref="D32:D40" si="1">IF(C32="",0,1)</f>
        <v>0</v>
      </c>
      <c r="E32" s="162">
        <f>SUM(D32:D37)</f>
        <v>0</v>
      </c>
    </row>
    <row r="33" spans="1:5" x14ac:dyDescent="0.25">
      <c r="A33" s="17" t="s">
        <v>62</v>
      </c>
      <c r="B33" s="2"/>
      <c r="C33" s="26" t="str">
        <f>IF('Site Readiness and Pre Check P'!E44="","",'Site Readiness and Pre Check P'!E44)</f>
        <v/>
      </c>
      <c r="D33">
        <f t="shared" si="1"/>
        <v>0</v>
      </c>
      <c r="E33" s="162"/>
    </row>
    <row r="34" spans="1:5" x14ac:dyDescent="0.25">
      <c r="A34" s="17" t="s">
        <v>30</v>
      </c>
      <c r="B34" s="2"/>
      <c r="C34" s="26" t="str">
        <f>IF('Site Readiness and Pre Check P'!E45="","",'Site Readiness and Pre Check P'!E45)</f>
        <v/>
      </c>
      <c r="D34">
        <f t="shared" si="1"/>
        <v>0</v>
      </c>
      <c r="E34" s="162"/>
    </row>
    <row r="35" spans="1:5" x14ac:dyDescent="0.25">
      <c r="A35" s="17" t="s">
        <v>32</v>
      </c>
      <c r="B35" s="2"/>
      <c r="C35" s="26" t="str">
        <f>IF('Site Readiness and Pre Check P'!E46="","",'Site Readiness and Pre Check P'!E46)</f>
        <v/>
      </c>
      <c r="D35">
        <f t="shared" si="1"/>
        <v>0</v>
      </c>
      <c r="E35" s="162"/>
    </row>
    <row r="36" spans="1:5" x14ac:dyDescent="0.25">
      <c r="A36" s="17" t="s">
        <v>36</v>
      </c>
      <c r="B36" s="2"/>
      <c r="C36" s="26" t="str">
        <f>IF('Site Readiness and Pre Check P'!E47="","",'Site Readiness and Pre Check P'!E47)</f>
        <v/>
      </c>
      <c r="D36">
        <f t="shared" si="1"/>
        <v>0</v>
      </c>
      <c r="E36" s="162"/>
    </row>
    <row r="37" spans="1:5" x14ac:dyDescent="0.25">
      <c r="A37" s="17" t="s">
        <v>37</v>
      </c>
      <c r="B37" s="2"/>
      <c r="C37" s="26" t="str">
        <f>IF('Site Readiness and Pre Check P'!E48="","",'Site Readiness and Pre Check P'!E48)</f>
        <v/>
      </c>
      <c r="D37">
        <f t="shared" si="1"/>
        <v>0</v>
      </c>
      <c r="E37" s="162"/>
    </row>
    <row r="38" spans="1:5" x14ac:dyDescent="0.25">
      <c r="A38" s="17" t="s">
        <v>34</v>
      </c>
      <c r="B38" s="2"/>
      <c r="C38" s="26" t="str">
        <f>IF('Site Readiness and Pre Check P'!E49="","",'Site Readiness and Pre Check P'!E49)</f>
        <v/>
      </c>
      <c r="D38">
        <f>IF(C38="No",0,1)</f>
        <v>1</v>
      </c>
      <c r="E38" s="162">
        <f>IF(C38="Yes",SUM(D32:D40),SUM(D32:D37))</f>
        <v>0</v>
      </c>
    </row>
    <row r="39" spans="1:5" x14ac:dyDescent="0.25">
      <c r="A39" s="17" t="s">
        <v>33</v>
      </c>
      <c r="B39" s="2"/>
      <c r="C39" s="26" t="str">
        <f>IF('Site Readiness and Pre Check P'!E50="","",'Site Readiness and Pre Check P'!E50)</f>
        <v/>
      </c>
      <c r="D39">
        <f t="shared" si="1"/>
        <v>0</v>
      </c>
      <c r="E39" s="162"/>
    </row>
    <row r="40" spans="1:5" x14ac:dyDescent="0.25">
      <c r="A40" s="17" t="s">
        <v>35</v>
      </c>
      <c r="B40" s="2"/>
      <c r="C40" s="26" t="str">
        <f>IF('Site Readiness and Pre Check P'!E51="","",'Site Readiness and Pre Check P'!E51)</f>
        <v/>
      </c>
      <c r="D40">
        <f t="shared" si="1"/>
        <v>0</v>
      </c>
      <c r="E40" s="162"/>
    </row>
    <row r="41" spans="1:5" x14ac:dyDescent="0.25">
      <c r="A41" s="20"/>
      <c r="B41" s="2"/>
      <c r="C41" s="33"/>
    </row>
    <row r="42" spans="1:5" x14ac:dyDescent="0.25">
      <c r="A42" s="15" t="s">
        <v>73</v>
      </c>
      <c r="B42" s="2"/>
      <c r="C42" s="34"/>
    </row>
    <row r="43" spans="1:5" x14ac:dyDescent="0.25">
      <c r="A43" s="20"/>
      <c r="B43" s="2"/>
      <c r="C43" s="35"/>
    </row>
    <row r="44" spans="1:5" x14ac:dyDescent="0.25">
      <c r="A44" s="17" t="s">
        <v>55</v>
      </c>
      <c r="B44" s="2"/>
      <c r="C44" s="26" t="str">
        <f>IF('Site Readiness and Pre Check P'!E55="","",'Site Readiness and Pre Check P'!E55)</f>
        <v/>
      </c>
      <c r="D44">
        <f>IF(C44="",0,1)</f>
        <v>0</v>
      </c>
      <c r="E44" s="169">
        <f>SUM(D44:D47)</f>
        <v>0</v>
      </c>
    </row>
    <row r="45" spans="1:5" x14ac:dyDescent="0.25">
      <c r="A45" s="17" t="s">
        <v>31</v>
      </c>
      <c r="B45" s="2"/>
      <c r="C45" s="26" t="str">
        <f>IF('Site Readiness and Pre Check P'!E56="","",'Site Readiness and Pre Check P'!E56)</f>
        <v/>
      </c>
      <c r="D45">
        <f>IF(C45="",0,1)</f>
        <v>0</v>
      </c>
      <c r="E45" s="169"/>
    </row>
    <row r="46" spans="1:5" x14ac:dyDescent="0.25">
      <c r="A46" s="17" t="s">
        <v>30</v>
      </c>
      <c r="B46" s="2"/>
      <c r="C46" s="26" t="str">
        <f>IF('Site Readiness and Pre Check P'!E57="","",'Site Readiness and Pre Check P'!E57)</f>
        <v/>
      </c>
      <c r="D46">
        <f>IF(C46="",0,1)</f>
        <v>0</v>
      </c>
      <c r="E46" s="169"/>
    </row>
    <row r="47" spans="1:5" x14ac:dyDescent="0.25">
      <c r="A47" s="17" t="s">
        <v>32</v>
      </c>
      <c r="B47" s="2"/>
      <c r="C47" s="26" t="str">
        <f>IF('Site Readiness and Pre Check P'!E58="","",'Site Readiness and Pre Check P'!E58)</f>
        <v/>
      </c>
      <c r="D47">
        <f>IF(C47="",0,1)</f>
        <v>0</v>
      </c>
      <c r="E47" s="169"/>
    </row>
    <row r="48" spans="1:5" x14ac:dyDescent="0.25">
      <c r="A48" s="109"/>
      <c r="B48" s="2"/>
      <c r="C48" s="36"/>
    </row>
    <row r="49" spans="1:11" x14ac:dyDescent="0.25">
      <c r="A49" s="15" t="s">
        <v>64</v>
      </c>
      <c r="B49" s="2"/>
      <c r="C49" s="29"/>
    </row>
    <row r="50" spans="1:11" x14ac:dyDescent="0.25">
      <c r="A50" s="20"/>
      <c r="B50" s="2"/>
      <c r="C50" s="37"/>
    </row>
    <row r="51" spans="1:11" x14ac:dyDescent="0.25">
      <c r="A51" s="17" t="s">
        <v>38</v>
      </c>
      <c r="B51" s="2"/>
      <c r="C51" s="26" t="str">
        <f>'Systems Configuration Workbook'!E56</f>
        <v>Turn OFF HQ communication</v>
      </c>
      <c r="I51" t="str">
        <f>IF('Site Readiness and Pre Checks'!E62="","",IF('Site Readiness and Pre Checks'!E62="Yes",1,0))</f>
        <v/>
      </c>
      <c r="J51" t="str">
        <f>IF('Site Readiness and Pre Checks'!E63="","",IF('Site Readiness and Pre Checks'!E63="Yes",1,0))</f>
        <v/>
      </c>
      <c r="K51">
        <f>SUM(I51:J51)</f>
        <v>0</v>
      </c>
    </row>
    <row r="52" spans="1:11" x14ac:dyDescent="0.25">
      <c r="A52" s="17" t="s">
        <v>39</v>
      </c>
      <c r="B52" s="2"/>
      <c r="C52" s="26">
        <f>'Site Readiness and Pre Checks'!E67</f>
        <v>0</v>
      </c>
    </row>
    <row r="53" spans="1:11" x14ac:dyDescent="0.25">
      <c r="A53" s="17" t="s">
        <v>40</v>
      </c>
      <c r="B53" s="2"/>
      <c r="C53" s="26">
        <f>'Site Readiness and Pre Checks'!E68</f>
        <v>0</v>
      </c>
    </row>
    <row r="54" spans="1:11" x14ac:dyDescent="0.25">
      <c r="A54" s="17" t="s">
        <v>41</v>
      </c>
      <c r="B54" s="2"/>
      <c r="C54" s="26">
        <f>'Site Readiness and Pre Checks'!E69</f>
        <v>0</v>
      </c>
    </row>
    <row r="55" spans="1:11" x14ac:dyDescent="0.25">
      <c r="A55" s="17" t="s">
        <v>42</v>
      </c>
      <c r="B55" s="2"/>
      <c r="C55" s="26">
        <f>'Site Readiness and Pre Checks'!E70</f>
        <v>0</v>
      </c>
    </row>
    <row r="56" spans="1:11" x14ac:dyDescent="0.25">
      <c r="A56" s="17" t="s">
        <v>43</v>
      </c>
      <c r="B56" s="2"/>
      <c r="C56" s="26">
        <f>'Site Readiness and Pre Checks'!E71</f>
        <v>0</v>
      </c>
    </row>
    <row r="57" spans="1:11" x14ac:dyDescent="0.25">
      <c r="A57" s="17" t="s">
        <v>44</v>
      </c>
      <c r="B57" s="2"/>
      <c r="C57" s="26">
        <f>'Site Readiness and Pre Checks'!E72</f>
        <v>0</v>
      </c>
    </row>
    <row r="58" spans="1:11" x14ac:dyDescent="0.25">
      <c r="A58" s="17" t="s">
        <v>45</v>
      </c>
      <c r="B58" s="2"/>
      <c r="C58" s="26">
        <f>'Site Readiness and Pre Checks'!E73</f>
        <v>0</v>
      </c>
    </row>
    <row r="59" spans="1:11" x14ac:dyDescent="0.25">
      <c r="A59" s="17" t="s">
        <v>46</v>
      </c>
      <c r="B59" s="2"/>
      <c r="C59" s="26">
        <f>'Site Readiness and Pre Checks'!E74</f>
        <v>0</v>
      </c>
    </row>
    <row r="60" spans="1:11" x14ac:dyDescent="0.25">
      <c r="A60" s="21" t="s">
        <v>0</v>
      </c>
      <c r="B60" s="2"/>
      <c r="C60" s="36"/>
    </row>
    <row r="61" spans="1:11" x14ac:dyDescent="0.25">
      <c r="A61" s="21"/>
      <c r="B61" s="2"/>
      <c r="C61" s="29"/>
    </row>
    <row r="62" spans="1:11" x14ac:dyDescent="0.25">
      <c r="A62" s="15" t="s">
        <v>8</v>
      </c>
      <c r="B62" s="2"/>
      <c r="C62" s="29"/>
    </row>
    <row r="63" spans="1:11" x14ac:dyDescent="0.25">
      <c r="A63" s="20"/>
      <c r="B63" s="2"/>
      <c r="C63" s="37"/>
    </row>
    <row r="64" spans="1:11" x14ac:dyDescent="0.25">
      <c r="A64" s="17" t="s">
        <v>47</v>
      </c>
      <c r="B64" s="2"/>
      <c r="C64" s="26">
        <f>'Site Readiness and Pre Checks'!E76</f>
        <v>0</v>
      </c>
    </row>
    <row r="65" spans="1:4" x14ac:dyDescent="0.25">
      <c r="A65" s="17" t="s">
        <v>48</v>
      </c>
      <c r="B65" s="2"/>
      <c r="C65" s="26">
        <f>'Site Readiness and Pre Checks'!E77</f>
        <v>0</v>
      </c>
    </row>
    <row r="66" spans="1:4" x14ac:dyDescent="0.25">
      <c r="A66" s="17" t="s">
        <v>49</v>
      </c>
      <c r="B66" s="2"/>
      <c r="C66" s="26">
        <f>'Site Readiness and Pre Checks'!E78</f>
        <v>0</v>
      </c>
    </row>
    <row r="68" spans="1:4" x14ac:dyDescent="0.25">
      <c r="A68" s="70" t="s">
        <v>109</v>
      </c>
      <c r="B68" s="2"/>
      <c r="C68" s="41" t="str">
        <f>IF('Site Readiness and Pre Check P'!E80="","",'Site Readiness and Pre Check P'!E80)</f>
        <v/>
      </c>
      <c r="D68">
        <f>IF(C68="",0,IF(C68="No",0,1))</f>
        <v>0</v>
      </c>
    </row>
    <row r="71" spans="1:4" x14ac:dyDescent="0.25">
      <c r="A71" s="17" t="s">
        <v>142</v>
      </c>
      <c r="B71" s="2"/>
      <c r="C71" s="41" t="str">
        <f>IF('Site Readiness and Pre Check P'!E23="","",'Site Readiness and Pre Check P'!E23)</f>
        <v/>
      </c>
      <c r="D71" s="2">
        <f>IF('Site Readiness and Pre Check P'!E23="",0,1)</f>
        <v>0</v>
      </c>
    </row>
    <row r="72" spans="1:4" x14ac:dyDescent="0.25">
      <c r="A72" s="17" t="s">
        <v>145</v>
      </c>
      <c r="B72" s="2"/>
      <c r="C72" s="115" t="str">
        <f>IF('Site Readiness and Pre Check P'!E25="","",'Site Readiness and Pre Check P'!E25)</f>
        <v/>
      </c>
      <c r="D72">
        <f>IF('Site Readiness and Pre Check P'!E25="",0,1)</f>
        <v>0</v>
      </c>
    </row>
  </sheetData>
  <mergeCells count="12">
    <mergeCell ref="H4:I5"/>
    <mergeCell ref="H6:I7"/>
    <mergeCell ref="E7:E8"/>
    <mergeCell ref="E10:E14"/>
    <mergeCell ref="E16:E20"/>
    <mergeCell ref="F16:F17"/>
    <mergeCell ref="F19:F20"/>
    <mergeCell ref="E24:E28"/>
    <mergeCell ref="E32:E37"/>
    <mergeCell ref="E38:E40"/>
    <mergeCell ref="E44:E47"/>
    <mergeCell ref="E4:E5"/>
  </mergeCells>
  <conditionalFormatting sqref="E10:E14">
    <cfRule type="expression" dxfId="11" priority="12">
      <formula>$E$10=4</formula>
    </cfRule>
  </conditionalFormatting>
  <conditionalFormatting sqref="E16:E20">
    <cfRule type="expression" dxfId="10" priority="11">
      <formula>$E$16=4</formula>
    </cfRule>
  </conditionalFormatting>
  <conditionalFormatting sqref="E24:E28">
    <cfRule type="expression" dxfId="9" priority="10">
      <formula>$E$24=5</formula>
    </cfRule>
  </conditionalFormatting>
  <conditionalFormatting sqref="E4:E5">
    <cfRule type="expression" dxfId="8" priority="9">
      <formula>$E$4=2</formula>
    </cfRule>
  </conditionalFormatting>
  <conditionalFormatting sqref="E7:E8">
    <cfRule type="expression" dxfId="7" priority="8">
      <formula>$E$7=2</formula>
    </cfRule>
  </conditionalFormatting>
  <conditionalFormatting sqref="E32:E37">
    <cfRule type="expression" dxfId="6" priority="7">
      <formula>$E$32=6</formula>
    </cfRule>
  </conditionalFormatting>
  <conditionalFormatting sqref="E38:E40">
    <cfRule type="expression" dxfId="5" priority="6">
      <formula>$E$38=9</formula>
    </cfRule>
  </conditionalFormatting>
  <conditionalFormatting sqref="E44:E47">
    <cfRule type="expression" dxfId="4" priority="5">
      <formula>$E$44=4</formula>
    </cfRule>
  </conditionalFormatting>
  <conditionalFormatting sqref="A71">
    <cfRule type="expression" dxfId="3" priority="4">
      <formula>IF($E$21="Partner Order","Partner Sales order number(s):","HP Sales order number(s):")</formula>
    </cfRule>
  </conditionalFormatting>
  <conditionalFormatting sqref="C71">
    <cfRule type="expression" dxfId="2" priority="3">
      <formula>$C$71=""</formula>
    </cfRule>
  </conditionalFormatting>
  <conditionalFormatting sqref="A72">
    <cfRule type="expression" dxfId="1" priority="2">
      <formula>IF($E$21="Partner Order","Partner Sales order number(s):","HP Sales order number(s):")</formula>
    </cfRule>
  </conditionalFormatting>
  <conditionalFormatting sqref="C72">
    <cfRule type="expression" dxfId="0" priority="1">
      <formula>$C$72=""</formula>
    </cfRule>
  </conditionalFormatting>
  <hyperlinks>
    <hyperlink ref="A68" location="'Customer obligations'!A3" display="Have you completed all items in the customer obligations tab"/>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80"/>
  </sheetPr>
  <dimension ref="B2:N17"/>
  <sheetViews>
    <sheetView showGridLines="0" showRowColHeaders="0" workbookViewId="0">
      <selection activeCell="B6" sqref="B6:C6"/>
    </sheetView>
  </sheetViews>
  <sheetFormatPr defaultRowHeight="15" x14ac:dyDescent="0.25"/>
  <cols>
    <col min="2" max="2" width="10.5703125" customWidth="1"/>
    <col min="3" max="3" width="16.85546875" customWidth="1"/>
    <col min="4" max="4" width="18.42578125" customWidth="1"/>
    <col min="5" max="5" width="22.28515625" customWidth="1"/>
    <col min="7" max="7" width="10" customWidth="1"/>
    <col min="9" max="9" width="9.5703125" customWidth="1"/>
    <col min="11" max="11" width="15.7109375" customWidth="1"/>
    <col min="12" max="12" width="8" customWidth="1"/>
    <col min="13" max="13" width="10.140625" customWidth="1"/>
    <col min="14" max="14" width="10" customWidth="1"/>
  </cols>
  <sheetData>
    <row r="2" spans="2:14" x14ac:dyDescent="0.25">
      <c r="B2" s="170" t="s">
        <v>166</v>
      </c>
      <c r="C2" s="170"/>
      <c r="D2" s="170"/>
      <c r="E2" s="170"/>
      <c r="F2" s="119"/>
      <c r="G2" s="119"/>
      <c r="H2" s="119"/>
      <c r="I2" s="119"/>
      <c r="J2" s="119"/>
      <c r="K2" s="119"/>
      <c r="L2" s="119"/>
      <c r="M2" s="119"/>
      <c r="N2" s="119"/>
    </row>
    <row r="3" spans="2:14" x14ac:dyDescent="0.25">
      <c r="B3" s="171" t="s">
        <v>167</v>
      </c>
      <c r="C3" s="171"/>
      <c r="D3" s="171"/>
      <c r="E3" s="171"/>
      <c r="F3" s="119"/>
      <c r="G3" s="119"/>
      <c r="H3" s="119"/>
      <c r="I3" s="119"/>
      <c r="J3" s="119"/>
      <c r="K3" s="119"/>
      <c r="L3" s="119"/>
      <c r="M3" s="119"/>
      <c r="N3" s="119"/>
    </row>
    <row r="4" spans="2:14" x14ac:dyDescent="0.25">
      <c r="B4" s="171"/>
      <c r="C4" s="171"/>
      <c r="D4" s="172"/>
      <c r="E4" s="172"/>
      <c r="F4" s="119"/>
      <c r="G4" s="119"/>
      <c r="H4" s="119"/>
      <c r="I4" s="119"/>
      <c r="J4" s="119"/>
      <c r="K4" s="119"/>
      <c r="L4" s="119"/>
      <c r="M4" s="119"/>
      <c r="N4" s="119"/>
    </row>
    <row r="5" spans="2:14" x14ac:dyDescent="0.25">
      <c r="B5" s="173" t="s">
        <v>168</v>
      </c>
      <c r="C5" s="174"/>
      <c r="D5" s="120" t="s">
        <v>169</v>
      </c>
      <c r="E5" s="120" t="s">
        <v>170</v>
      </c>
      <c r="F5" s="173" t="s">
        <v>171</v>
      </c>
      <c r="G5" s="174"/>
      <c r="H5" s="173" t="s">
        <v>172</v>
      </c>
      <c r="I5" s="174"/>
      <c r="J5" s="173" t="s">
        <v>173</v>
      </c>
      <c r="K5" s="174"/>
    </row>
    <row r="6" spans="2:14" x14ac:dyDescent="0.25">
      <c r="B6" s="175"/>
      <c r="C6" s="176"/>
      <c r="D6" s="121"/>
      <c r="E6" s="121"/>
      <c r="F6" s="177"/>
      <c r="G6" s="178"/>
      <c r="H6" s="179"/>
      <c r="I6" s="180"/>
      <c r="J6" s="181"/>
      <c r="K6" s="180"/>
    </row>
    <row r="7" spans="2:14" x14ac:dyDescent="0.25">
      <c r="B7" s="175"/>
      <c r="C7" s="176"/>
      <c r="D7" s="121"/>
      <c r="E7" s="121"/>
      <c r="F7" s="179"/>
      <c r="G7" s="180"/>
      <c r="H7" s="179"/>
      <c r="I7" s="180"/>
      <c r="J7" s="181"/>
      <c r="K7" s="180"/>
    </row>
    <row r="8" spans="2:14" x14ac:dyDescent="0.25">
      <c r="B8" s="175"/>
      <c r="C8" s="176"/>
      <c r="D8" s="121"/>
      <c r="E8" s="121"/>
      <c r="F8" s="179"/>
      <c r="G8" s="180"/>
      <c r="H8" s="179"/>
      <c r="I8" s="180"/>
      <c r="J8" s="181"/>
      <c r="K8" s="180"/>
    </row>
    <row r="9" spans="2:14" x14ac:dyDescent="0.25">
      <c r="B9" s="175"/>
      <c r="C9" s="176"/>
      <c r="D9" s="122"/>
      <c r="E9" s="121"/>
      <c r="F9" s="179"/>
      <c r="G9" s="180"/>
      <c r="H9" s="179"/>
      <c r="I9" s="180"/>
      <c r="J9" s="179"/>
      <c r="K9" s="180"/>
    </row>
    <row r="10" spans="2:14" x14ac:dyDescent="0.25">
      <c r="B10" s="175"/>
      <c r="C10" s="182"/>
      <c r="D10" s="122"/>
      <c r="E10" s="122"/>
      <c r="F10" s="183"/>
      <c r="G10" s="184"/>
      <c r="H10" s="183"/>
      <c r="I10" s="184"/>
      <c r="J10" s="183"/>
      <c r="K10" s="184"/>
    </row>
    <row r="11" spans="2:14" x14ac:dyDescent="0.25">
      <c r="B11" s="175"/>
      <c r="C11" s="176"/>
      <c r="D11" s="121"/>
      <c r="E11" s="121"/>
      <c r="F11" s="179"/>
      <c r="G11" s="180"/>
      <c r="H11" s="179"/>
      <c r="I11" s="180"/>
      <c r="J11" s="179"/>
      <c r="K11" s="180"/>
    </row>
    <row r="12" spans="2:14" x14ac:dyDescent="0.25">
      <c r="B12" s="175"/>
      <c r="C12" s="176"/>
      <c r="D12" s="121" t="s">
        <v>0</v>
      </c>
      <c r="E12" s="121"/>
      <c r="F12" s="177"/>
      <c r="G12" s="178"/>
      <c r="H12" s="179" t="s">
        <v>0</v>
      </c>
      <c r="I12" s="180"/>
      <c r="J12" s="181"/>
      <c r="K12" s="180"/>
    </row>
    <row r="13" spans="2:14" x14ac:dyDescent="0.25">
      <c r="B13" s="175"/>
      <c r="C13" s="176"/>
      <c r="D13" s="121" t="s">
        <v>0</v>
      </c>
      <c r="E13" s="121"/>
      <c r="F13" s="179" t="s">
        <v>0</v>
      </c>
      <c r="G13" s="180"/>
      <c r="H13" s="179" t="s">
        <v>0</v>
      </c>
      <c r="I13" s="180"/>
      <c r="J13" s="181"/>
      <c r="K13" s="180"/>
    </row>
    <row r="14" spans="2:14" x14ac:dyDescent="0.25">
      <c r="B14" s="175"/>
      <c r="C14" s="176"/>
      <c r="D14" s="121"/>
      <c r="E14" s="121"/>
      <c r="F14" s="179"/>
      <c r="G14" s="180"/>
      <c r="H14" s="179"/>
      <c r="I14" s="180"/>
      <c r="J14" s="179"/>
      <c r="K14" s="180"/>
    </row>
    <row r="15" spans="2:14" x14ac:dyDescent="0.25">
      <c r="B15" s="175"/>
      <c r="C15" s="176"/>
      <c r="D15" s="122"/>
      <c r="E15" s="121"/>
      <c r="F15" s="179"/>
      <c r="G15" s="180"/>
      <c r="H15" s="179"/>
      <c r="I15" s="180"/>
      <c r="J15" s="179"/>
      <c r="K15" s="180"/>
    </row>
    <row r="16" spans="2:14" x14ac:dyDescent="0.25">
      <c r="B16" s="175"/>
      <c r="C16" s="182"/>
      <c r="D16" s="122"/>
      <c r="E16" s="122"/>
      <c r="F16" s="183"/>
      <c r="G16" s="184"/>
      <c r="H16" s="183"/>
      <c r="I16" s="184"/>
      <c r="J16" s="183"/>
      <c r="K16" s="184"/>
    </row>
    <row r="17" spans="2:11" x14ac:dyDescent="0.25">
      <c r="B17" s="175"/>
      <c r="C17" s="176"/>
      <c r="D17" s="121"/>
      <c r="E17" s="121"/>
      <c r="F17" s="179"/>
      <c r="G17" s="180"/>
      <c r="H17" s="179"/>
      <c r="I17" s="180"/>
      <c r="J17" s="179"/>
      <c r="K17" s="180"/>
    </row>
  </sheetData>
  <sheetProtection password="8121" sheet="1" objects="1" scenarios="1" selectLockedCells="1"/>
  <mergeCells count="56">
    <mergeCell ref="B17:C17"/>
    <mergeCell ref="F17:G17"/>
    <mergeCell ref="H17:I17"/>
    <mergeCell ref="J17:K17"/>
    <mergeCell ref="B15:C15"/>
    <mergeCell ref="F15:G15"/>
    <mergeCell ref="H15:I15"/>
    <mergeCell ref="J15:K15"/>
    <mergeCell ref="B16:C16"/>
    <mergeCell ref="F16:G16"/>
    <mergeCell ref="H16:I16"/>
    <mergeCell ref="J16:K16"/>
    <mergeCell ref="B13:C13"/>
    <mergeCell ref="F13:G13"/>
    <mergeCell ref="H13:I13"/>
    <mergeCell ref="J13:K13"/>
    <mergeCell ref="B14:C14"/>
    <mergeCell ref="F14:G14"/>
    <mergeCell ref="H14:I14"/>
    <mergeCell ref="J14:K14"/>
    <mergeCell ref="B11:C11"/>
    <mergeCell ref="F11:G11"/>
    <mergeCell ref="H11:I11"/>
    <mergeCell ref="J11:K11"/>
    <mergeCell ref="B12:C12"/>
    <mergeCell ref="F12:G12"/>
    <mergeCell ref="H12:I12"/>
    <mergeCell ref="J12:K12"/>
    <mergeCell ref="B9:C9"/>
    <mergeCell ref="F9:G9"/>
    <mergeCell ref="H9:I9"/>
    <mergeCell ref="J9:K9"/>
    <mergeCell ref="B10:C10"/>
    <mergeCell ref="F10:G10"/>
    <mergeCell ref="H10:I10"/>
    <mergeCell ref="J10:K10"/>
    <mergeCell ref="B7:C7"/>
    <mergeCell ref="F7:G7"/>
    <mergeCell ref="H7:I7"/>
    <mergeCell ref="J7:K7"/>
    <mergeCell ref="B8:C8"/>
    <mergeCell ref="F8:G8"/>
    <mergeCell ref="H8:I8"/>
    <mergeCell ref="J8:K8"/>
    <mergeCell ref="H5:I5"/>
    <mergeCell ref="J5:K5"/>
    <mergeCell ref="B6:C6"/>
    <mergeCell ref="F6:G6"/>
    <mergeCell ref="H6:I6"/>
    <mergeCell ref="J6:K6"/>
    <mergeCell ref="F5:G5"/>
    <mergeCell ref="B2:E2"/>
    <mergeCell ref="B3:E3"/>
    <mergeCell ref="B4:C4"/>
    <mergeCell ref="D4:E4"/>
    <mergeCell ref="B5:C5"/>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903BA2F8CD27441AE3CC3F0A997E739" ma:contentTypeVersion="0" ma:contentTypeDescription="Create a new document." ma:contentTypeScope="" ma:versionID="94f4b220b69f0748cb2015de6243612e">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A9D0591-3FB1-4A14-BF77-B0424B1C59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00CE2FC6-B88B-4FE3-A03E-9FB474995AAA}">
  <ds:schemaRefs>
    <ds:schemaRef ds:uri="http://schemas.microsoft.com/sharepoint/v3/contenttype/forms"/>
  </ds:schemaRefs>
</ds:datastoreItem>
</file>

<file path=customXml/itemProps3.xml><?xml version="1.0" encoding="utf-8"?>
<ds:datastoreItem xmlns:ds="http://schemas.openxmlformats.org/officeDocument/2006/customXml" ds:itemID="{12CC43F9-BE6E-45D1-B153-C8DCB42B4B8D}">
  <ds:schemaRefs>
    <ds:schemaRef ds:uri="http://www.w3.org/XML/1998/namespace"/>
    <ds:schemaRef ds:uri="http://purl.org/dc/terms/"/>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Introduction</vt:lpstr>
      <vt:lpstr>Site Readiness and Pre Checks</vt:lpstr>
      <vt:lpstr>Customer Obligations</vt:lpstr>
      <vt:lpstr>additional Contacts</vt:lpstr>
      <vt:lpstr>click_to_go_back_to_the_Site_Readiness_and_Pre_Checks_Tab</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Engelfried;Angga Wisnu Pratiwa</dc:creator>
  <cp:lastModifiedBy>Angga Wisnu Pratiwa</cp:lastModifiedBy>
  <cp:lastPrinted>2013-02-12T10:14:55Z</cp:lastPrinted>
  <dcterms:created xsi:type="dcterms:W3CDTF">2012-08-10T15:49:26Z</dcterms:created>
  <dcterms:modified xsi:type="dcterms:W3CDTF">2013-03-14T05:17:58Z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0x0101006903BA2F8CD27441AE3CC3F0A997E739</vt:lpwstr>
  </property>
</Properties>
</file>