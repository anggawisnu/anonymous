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Y:\Personalle\Templates\"/>
    </mc:Choice>
  </mc:AlternateContent>
  <bookViews>
    <workbookView xWindow="7896" yWindow="0" windowWidth="15144" windowHeight="9960" tabRatio="536"/>
  </bookViews>
  <sheets>
    <sheet name="List of Cases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64" i="1" l="1"/>
  <c r="S64" i="1"/>
  <c r="Q64" i="1"/>
  <c r="R64" i="1"/>
  <c r="X64" i="1" s="1"/>
  <c r="W64" i="1"/>
  <c r="P55" i="1" l="1"/>
  <c r="P56" i="1"/>
  <c r="P57" i="1"/>
  <c r="P58" i="1"/>
  <c r="P59" i="1"/>
  <c r="P60" i="1"/>
  <c r="P61" i="1"/>
  <c r="P62" i="1"/>
  <c r="P63" i="1"/>
  <c r="S55" i="1"/>
  <c r="S56" i="1"/>
  <c r="S57" i="1"/>
  <c r="S58" i="1"/>
  <c r="S59" i="1"/>
  <c r="S60" i="1"/>
  <c r="S61" i="1"/>
  <c r="S62" i="1"/>
  <c r="S63" i="1"/>
  <c r="Q55" i="1"/>
  <c r="Q56" i="1"/>
  <c r="Q57" i="1"/>
  <c r="Q58" i="1"/>
  <c r="Q59" i="1"/>
  <c r="Q60" i="1"/>
  <c r="Q61" i="1"/>
  <c r="Q62" i="1"/>
  <c r="Q63" i="1"/>
  <c r="R55" i="1"/>
  <c r="X55" i="1" s="1"/>
  <c r="R56" i="1"/>
  <c r="X56" i="1" s="1"/>
  <c r="R57" i="1"/>
  <c r="X57" i="1" s="1"/>
  <c r="R58" i="1"/>
  <c r="R59" i="1"/>
  <c r="X59" i="1" s="1"/>
  <c r="R60" i="1"/>
  <c r="X60" i="1" s="1"/>
  <c r="R61" i="1"/>
  <c r="X61" i="1" s="1"/>
  <c r="R62" i="1"/>
  <c r="R63" i="1"/>
  <c r="X63" i="1" s="1"/>
  <c r="W55" i="1"/>
  <c r="W56" i="1"/>
  <c r="W57" i="1"/>
  <c r="W58" i="1"/>
  <c r="W59" i="1"/>
  <c r="W60" i="1"/>
  <c r="W61" i="1"/>
  <c r="W62" i="1"/>
  <c r="W63" i="1"/>
  <c r="X58" i="1"/>
  <c r="X62" i="1"/>
  <c r="J63" i="1"/>
  <c r="J64" i="1"/>
  <c r="L63" i="1"/>
  <c r="L64" i="1"/>
  <c r="M63" i="1"/>
  <c r="M64" i="1"/>
  <c r="N63" i="1"/>
  <c r="N64" i="1"/>
  <c r="J61" i="1"/>
  <c r="J62" i="1"/>
  <c r="L61" i="1"/>
  <c r="L62" i="1"/>
  <c r="M61" i="1"/>
  <c r="M62" i="1"/>
  <c r="N61" i="1"/>
  <c r="N62" i="1"/>
  <c r="J58" i="1"/>
  <c r="J59" i="1"/>
  <c r="J60" i="1"/>
  <c r="L58" i="1"/>
  <c r="L59" i="1"/>
  <c r="L60" i="1"/>
  <c r="M58" i="1"/>
  <c r="M59" i="1"/>
  <c r="M60" i="1"/>
  <c r="N58" i="1"/>
  <c r="N59" i="1"/>
  <c r="N60" i="1"/>
  <c r="J55" i="1"/>
  <c r="J56" i="1"/>
  <c r="J57" i="1"/>
  <c r="L55" i="1"/>
  <c r="L56" i="1"/>
  <c r="L57" i="1"/>
  <c r="M55" i="1"/>
  <c r="M56" i="1"/>
  <c r="M57" i="1"/>
  <c r="N55" i="1"/>
  <c r="N56" i="1"/>
  <c r="N57" i="1"/>
  <c r="K62" i="1" l="1"/>
  <c r="K64" i="1"/>
  <c r="K57" i="1"/>
  <c r="K60" i="1"/>
  <c r="K61" i="1"/>
  <c r="K63" i="1"/>
  <c r="K59" i="1"/>
  <c r="K55" i="1"/>
  <c r="K58" i="1"/>
  <c r="K56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W7" i="1" l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K5" i="1"/>
  <c r="K6" i="1"/>
  <c r="K7" i="1"/>
  <c r="K9" i="1"/>
  <c r="K10" i="1"/>
  <c r="K11" i="1"/>
  <c r="K13" i="1"/>
  <c r="K14" i="1"/>
  <c r="K15" i="1"/>
  <c r="K17" i="1"/>
  <c r="K18" i="1"/>
  <c r="K19" i="1"/>
  <c r="K21" i="1"/>
  <c r="K22" i="1"/>
  <c r="K23" i="1"/>
  <c r="K25" i="1"/>
  <c r="K26" i="1"/>
  <c r="K27" i="1"/>
  <c r="K29" i="1"/>
  <c r="K30" i="1"/>
  <c r="K31" i="1"/>
  <c r="K33" i="1"/>
  <c r="K34" i="1"/>
  <c r="K35" i="1"/>
  <c r="K37" i="1"/>
  <c r="K38" i="1"/>
  <c r="K39" i="1"/>
  <c r="K41" i="1"/>
  <c r="K42" i="1"/>
  <c r="K43" i="1"/>
  <c r="K45" i="1"/>
  <c r="K46" i="1"/>
  <c r="K47" i="1"/>
  <c r="K49" i="1"/>
  <c r="K50" i="1"/>
  <c r="K51" i="1"/>
  <c r="K53" i="1"/>
  <c r="K54" i="1"/>
  <c r="K52" i="1" l="1"/>
  <c r="K48" i="1"/>
  <c r="K44" i="1"/>
  <c r="K40" i="1"/>
  <c r="K36" i="1"/>
  <c r="K32" i="1"/>
  <c r="K28" i="1"/>
  <c r="K24" i="1"/>
  <c r="K20" i="1"/>
  <c r="K16" i="1"/>
  <c r="K12" i="1"/>
  <c r="K8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R5" i="1" l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W5" i="1" l="1"/>
  <c r="W6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X5" i="1" l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</calcChain>
</file>

<file path=xl/sharedStrings.xml><?xml version="1.0" encoding="utf-8"?>
<sst xmlns="http://schemas.openxmlformats.org/spreadsheetml/2006/main" count="28" uniqueCount="28">
  <si>
    <t>#</t>
  </si>
  <si>
    <t>CASE ID</t>
  </si>
  <si>
    <t>WORK ID</t>
  </si>
  <si>
    <t>CUSTOMER</t>
  </si>
  <si>
    <t>ISSUE</t>
  </si>
  <si>
    <t>TRAVEL START</t>
  </si>
  <si>
    <t>TRAVEL END</t>
  </si>
  <si>
    <t>STATUS</t>
  </si>
  <si>
    <t>TRAVEL
HOURS</t>
  </si>
  <si>
    <t>OVERTIME
HOURS</t>
  </si>
  <si>
    <t>OVERTIME CALCULATION</t>
  </si>
  <si>
    <t>WORK RELATED ACTIVITIES</t>
  </si>
  <si>
    <t>IS
STANDBY</t>
  </si>
  <si>
    <t>IS
OVERTIME</t>
  </si>
  <si>
    <t>TOTAL
HOURS</t>
  </si>
  <si>
    <t>NOTES</t>
  </si>
  <si>
    <t>HOLY
DAY</t>
  </si>
  <si>
    <t xml:space="preserve">CASE
</t>
  </si>
  <si>
    <t>WORK</t>
  </si>
  <si>
    <t>TRAVEL</t>
  </si>
  <si>
    <t>TOTAL</t>
  </si>
  <si>
    <t>TIME CALCULATIONS</t>
  </si>
  <si>
    <t>TIME INFORMATION</t>
  </si>
  <si>
    <t>TRAVEL-1</t>
  </si>
  <si>
    <t>TRAVEL-2</t>
  </si>
  <si>
    <t>CASE INFORMATION</t>
  </si>
  <si>
    <t>WORK COMPLETE</t>
  </si>
  <si>
    <t>WORK 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</si>
</sst>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\-mm\-yyyy\ hh:mm"/>
    <numFmt numFmtId="165" formatCode="[h]:mm;@"/>
  </numFmts>
  <fonts count="5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theme="5"/>
      </patternFill>
    </fill>
    <fill>
      <patternFill patternType="solid">
        <fgColor rgb="FFFF0000"/>
        <bgColor theme="9" tint="-0.499984740745262"/>
      </patternFill>
    </fill>
    <fill>
      <patternFill patternType="solid">
        <fgColor rgb="FFFF0000"/>
        <bgColor theme="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left"/>
      <protection hidden="1"/>
    </xf>
    <xf numFmtId="0" fontId="0" fillId="0" borderId="0" xfId="0" applyProtection="1">
      <protection hidden="1"/>
    </xf>
    <xf numFmtId="165" fontId="0" fillId="0" borderId="0" xfId="0" applyNumberFormat="1" applyProtection="1">
      <protection hidden="1"/>
    </xf>
    <xf numFmtId="165" fontId="1" fillId="2" borderId="0" xfId="0" applyNumberFormat="1" applyFont="1" applyFill="1" applyBorder="1" applyAlignment="1" applyProtection="1">
      <alignment horizontal="center" vertical="center"/>
      <protection hidden="1"/>
    </xf>
    <xf numFmtId="165" fontId="2" fillId="3" borderId="3" xfId="0" applyNumberFormat="1" applyFont="1" applyFill="1" applyBorder="1" applyAlignment="1" applyProtection="1">
      <alignment horizontal="center" vertical="center"/>
      <protection hidden="1"/>
    </xf>
    <xf numFmtId="0" fontId="1" fillId="4" borderId="0" xfId="0" applyFont="1" applyFill="1" applyBorder="1" applyAlignment="1" applyProtection="1">
      <alignment horizontal="center" vertical="center"/>
      <protection hidden="1"/>
    </xf>
    <xf numFmtId="165" fontId="0" fillId="0" borderId="3" xfId="0" applyNumberForma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/>
      <protection hidden="1"/>
    </xf>
    <xf numFmtId="165" fontId="2" fillId="3" borderId="2" xfId="0" applyNumberFormat="1" applyFont="1" applyFill="1" applyBorder="1" applyAlignment="1" applyProtection="1">
      <alignment horizontal="center" vertical="center"/>
      <protection hidden="1"/>
    </xf>
    <xf numFmtId="165" fontId="0" fillId="0" borderId="2" xfId="0" applyNumberFormat="1" applyBorder="1" applyAlignment="1" applyProtection="1">
      <alignment horizontal="center" vertical="center"/>
      <protection hidden="1"/>
    </xf>
    <xf numFmtId="0" fontId="0" fillId="0" borderId="9" xfId="0" applyBorder="1" applyAlignment="1" applyProtection="1">
      <alignment horizontal="center" vertical="center"/>
      <protection hidden="1"/>
    </xf>
    <xf numFmtId="0" fontId="0" fillId="0" borderId="10" xfId="0" applyBorder="1" applyAlignment="1" applyProtection="1">
      <alignment horizontal="center" vertical="center"/>
      <protection hidden="1"/>
    </xf>
    <xf numFmtId="165" fontId="0" fillId="0" borderId="10" xfId="0" applyNumberFormat="1" applyBorder="1" applyAlignment="1" applyProtection="1">
      <alignment horizontal="center" vertical="center"/>
      <protection hidden="1"/>
    </xf>
    <xf numFmtId="165" fontId="0" fillId="0" borderId="11" xfId="0" applyNumberFormat="1" applyBorder="1" applyAlignment="1" applyProtection="1">
      <alignment horizontal="center" vertical="center"/>
      <protection hidden="1"/>
    </xf>
    <xf numFmtId="0" fontId="0" fillId="0" borderId="0" xfId="0" applyNumberFormat="1" applyAlignment="1" applyProtection="1">
      <alignment horizontal="center" vertical="center"/>
      <protection locked="0" hidden="1"/>
    </xf>
    <xf numFmtId="165" fontId="1" fillId="0" borderId="0" xfId="0" applyNumberFormat="1" applyFont="1" applyAlignment="1" applyProtection="1">
      <alignment horizontal="center" vertical="center"/>
      <protection hidden="1"/>
    </xf>
    <xf numFmtId="165" fontId="3" fillId="0" borderId="0" xfId="0" applyNumberFormat="1" applyFont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4" fillId="0" borderId="0" xfId="0" applyNumberFormat="1" applyFont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1" fillId="0" borderId="0" xfId="0" applyNumberFormat="1" applyFont="1" applyAlignment="1" applyProtection="1">
      <alignment horizontal="center" vertical="center"/>
      <protection hidden="1"/>
    </xf>
    <xf numFmtId="0" fontId="1" fillId="2" borderId="1" xfId="0" applyFont="1" applyFill="1" applyBorder="1" applyAlignment="1" applyProtection="1">
      <alignment horizontal="center" vertical="center"/>
      <protection hidden="1"/>
    </xf>
    <xf numFmtId="0" fontId="1" fillId="2" borderId="0" xfId="0" applyFont="1" applyFill="1" applyBorder="1" applyAlignment="1" applyProtection="1">
      <alignment horizontal="center" vertical="center"/>
      <protection hidden="1"/>
    </xf>
    <xf numFmtId="165" fontId="2" fillId="3" borderId="7" xfId="0" applyNumberFormat="1" applyFont="1" applyFill="1" applyBorder="1" applyAlignment="1" applyProtection="1">
      <alignment horizontal="center" vertical="center"/>
      <protection hidden="1"/>
    </xf>
    <xf numFmtId="165" fontId="2" fillId="3" borderId="8" xfId="0" applyNumberFormat="1" applyFont="1" applyFill="1" applyBorder="1" applyAlignment="1" applyProtection="1">
      <alignment horizontal="center" vertical="center"/>
      <protection hidden="1"/>
    </xf>
    <xf numFmtId="0" fontId="2" fillId="3" borderId="7" xfId="0" applyFont="1" applyFill="1" applyBorder="1" applyAlignment="1" applyProtection="1">
      <alignment horizontal="center" vertical="center"/>
      <protection hidden="1"/>
    </xf>
    <xf numFmtId="0" fontId="2" fillId="3" borderId="4" xfId="0" applyFont="1" applyFill="1" applyBorder="1" applyAlignment="1" applyProtection="1">
      <alignment horizontal="center" vertical="center"/>
      <protection hidden="1"/>
    </xf>
    <xf numFmtId="0" fontId="2" fillId="3" borderId="5" xfId="0" applyFont="1" applyFill="1" applyBorder="1" applyAlignment="1" applyProtection="1">
      <alignment horizontal="center" vertical="center"/>
      <protection hidden="1"/>
    </xf>
    <xf numFmtId="0" fontId="2" fillId="3" borderId="6" xfId="0" applyFont="1" applyFill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36">
    <dxf>
      <numFmt numFmtId="0" formatCode="General"/>
      <alignment horizontal="center" vertical="center" textRotation="0" wrapText="0" indent="0" justifyLastLine="0" shrinkToFit="0" readingOrder="0"/>
      <protection locked="0" hidden="1"/>
    </dxf>
    <dxf>
      <numFmt numFmtId="0" formatCode="General"/>
      <alignment horizontal="center" vertical="center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sz val="11"/>
        <color rgb="FF0070C0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protection locked="1" hidden="1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1"/>
    </dxf>
    <dxf>
      <alignment horizontal="center" vertical="center" textRotation="0" wrapText="0" indent="0" justifyLastLine="0" shrinkToFit="0" readingOrder="0"/>
      <protection locked="0" hidden="1"/>
    </dxf>
    <dxf>
      <numFmt numFmtId="0" formatCode="General"/>
      <alignment horizontal="center" vertical="center" textRotation="0" wrapText="0" indent="0" justifyLastLine="0" shrinkToFit="0" readingOrder="0"/>
      <protection locked="0" hidden="1"/>
    </dxf>
    <dxf>
      <numFmt numFmtId="0" formatCode="General"/>
      <alignment horizontal="center" vertical="center" textRotation="0" wrapText="0" indent="0" justifyLastLine="0" shrinkToFit="0" readingOrder="0"/>
      <protection locked="0" hidden="1"/>
    </dxf>
    <dxf>
      <alignment horizontal="center" vertical="center" textRotation="0" wrapText="0" indent="0" justifyLastLine="0" shrinkToFit="0" readingOrder="0"/>
      <protection locked="0" hidden="1"/>
    </dxf>
    <dxf>
      <alignment horizontal="center" vertical="center" textRotation="0" wrapText="0" indent="0" justifyLastLine="0" shrinkToFit="0" readingOrder="0"/>
      <protection locked="1" hidden="1"/>
    </dxf>
    <dxf>
      <numFmt numFmtId="165" formatCode="[h]:mm;@"/>
      <alignment horizontal="center" vertical="center" textRotation="0" wrapText="0" indent="0" justifyLastLine="0" shrinkToFit="0" readingOrder="0"/>
      <protection locked="1" hidden="1"/>
    </dxf>
    <dxf>
      <numFmt numFmtId="165" formatCode="[h]:mm;@"/>
      <alignment horizontal="center" vertical="center" textRotation="0" wrapText="0" indent="0" justifyLastLine="0" shrinkToFit="0" readingOrder="0"/>
      <protection locked="1" hidden="1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65" formatCode="[h]:mm;@"/>
      <alignment horizontal="center" vertical="center" textRotation="0" wrapText="0" indent="0" justifyLastLine="0" shrinkToFit="0" readingOrder="0"/>
      <protection locked="1" hidden="1"/>
    </dxf>
    <dxf>
      <font>
        <i/>
        <strike val="0"/>
        <outline val="0"/>
        <shadow val="0"/>
        <u val="none"/>
        <vertAlign val="baseline"/>
        <sz val="11"/>
        <color rgb="FF0070C0"/>
        <name val="Calibri"/>
        <scheme val="minor"/>
      </font>
      <numFmt numFmtId="165" formatCode="[h]:mm;@"/>
      <alignment horizontal="center" vertical="center" textRotation="0" wrapText="0" indent="0" justifyLastLine="0" shrinkToFit="0" readingOrder="0"/>
      <protection locked="1" hidden="1"/>
    </dxf>
    <dxf>
      <font>
        <i/>
        <strike val="0"/>
        <outline val="0"/>
        <shadow val="0"/>
        <u val="none"/>
        <vertAlign val="baseline"/>
        <sz val="11"/>
        <color rgb="FF0070C0"/>
        <name val="Calibri"/>
        <scheme val="minor"/>
      </font>
      <numFmt numFmtId="165" formatCode="[h]:mm;@"/>
      <alignment horizontal="center" vertical="center" textRotation="0" wrapText="0" indent="0" justifyLastLine="0" shrinkToFit="0" readingOrder="0"/>
      <protection locked="1" hidden="1"/>
    </dxf>
    <dxf>
      <numFmt numFmtId="164" formatCode="dd\-mm\-yyyy\ hh:mm"/>
      <alignment horizontal="center" vertical="center" textRotation="0" wrapText="0" indent="0" justifyLastLine="0" shrinkToFit="0" readingOrder="0"/>
      <protection locked="0" hidden="0"/>
    </dxf>
    <dxf>
      <numFmt numFmtId="164" formatCode="dd\-mm\-yyyy\ hh:mm"/>
      <alignment horizontal="center" vertical="center" textRotation="0" wrapText="0" indent="0" justifyLastLine="0" shrinkToFit="0" readingOrder="0"/>
      <protection locked="0" hidden="0"/>
    </dxf>
    <dxf>
      <numFmt numFmtId="164" formatCode="dd\-mm\-yyyy\ hh:mm"/>
      <alignment horizontal="center" vertical="center" textRotation="0" wrapText="0" indent="0" justifyLastLine="0" shrinkToFit="0" readingOrder="0"/>
      <protection locked="0" hidden="0"/>
    </dxf>
    <dxf>
      <numFmt numFmtId="164" formatCode="dd\-mm\-yyyy\ hh:mm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border>
        <bottom style="thin">
          <color theme="0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  <protection locked="1" hidden="1"/>
    </dxf>
    <dxf>
      <border>
        <vertical style="thin">
          <color auto="1"/>
        </vertical>
      </border>
    </dxf>
    <dxf>
      <fill>
        <patternFill patternType="solid">
          <fgColor theme="6" tint="0.59996337778862885"/>
          <bgColor theme="9" tint="0.79992065187536243"/>
        </patternFill>
      </fill>
      <border>
        <left style="thick">
          <color auto="1"/>
        </left>
      </border>
    </dxf>
    <dxf>
      <fill>
        <patternFill patternType="solid">
          <fgColor theme="9" tint="0.79998168889431442"/>
          <bgColor theme="9" tint="0.79998168889431442"/>
        </patternFill>
      </fill>
    </dxf>
    <dxf>
      <font>
        <b/>
        <color theme="1"/>
      </font>
      <border>
        <right style="thick">
          <color auto="1"/>
        </right>
      </border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i val="0"/>
        <color theme="0"/>
      </font>
      <fill>
        <patternFill patternType="solid">
          <fgColor theme="9" tint="-0.499984740745262"/>
          <bgColor theme="9"/>
        </patternFill>
      </fill>
      <border>
        <top style="thick">
          <color auto="1"/>
        </top>
        <bottom style="thick">
          <color auto="1"/>
        </bottom>
      </border>
    </dxf>
    <dxf>
      <font>
        <color theme="1"/>
      </font>
      <border>
        <left style="thin">
          <color theme="9" tint="0.39994506668294322"/>
        </left>
        <right style="thin">
          <color theme="9" tint="0.39994506668294322"/>
        </right>
        <top style="thin">
          <color theme="9" tint="0.39994506668294322"/>
        </top>
        <bottom style="thin">
          <color theme="9" tint="0.39994506668294322"/>
        </bottom>
        <vertical style="thin">
          <color theme="9" tint="0.39994506668294322"/>
        </vertical>
        <horizontal style="thin">
          <color theme="9" tint="0.39994506668294322"/>
        </horizontal>
      </border>
    </dxf>
  </dxfs>
  <tableStyles count="1" defaultTableStyle="TableStyleMedium2" defaultPivotStyle="PivotStyleLight16">
    <tableStyle name="Angga WISNU" pivot="0" count="8">
      <tableStyleElement type="wholeTable" dxfId="35"/>
      <tableStyleElement type="headerRow" dxfId="34"/>
      <tableStyleElement type="totalRow" dxfId="33"/>
      <tableStyleElement type="firstColumn" dxfId="32"/>
      <tableStyleElement type="lastColumn" dxfId="31"/>
      <tableStyleElement type="firstRowStripe" dxfId="30"/>
      <tableStyleElement type="firstColumnStripe" dxfId="29"/>
      <tableStyleElement type="secondColumnStripe" dxfId="2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Cases" displayName="Cases" ref="A4:N64" totalsRowShown="0" headerRowDxfId="27" dataDxfId="25" headerRowBorderDxfId="26">
  <autoFilter ref="A4:N64"/>
  <tableColumns count="14">
    <tableColumn id="1" name="#" dataDxfId="24"/>
    <tableColumn id="2" name="CASE ID" dataDxfId="23"/>
    <tableColumn id="3" name="WORK ID" dataDxfId="22"/>
    <tableColumn id="4" name="CUSTOMER" dataDxfId="21"/>
    <tableColumn id="5" name="ISSUE" dataDxfId="20"/>
    <tableColumn id="6" name="TRAVEL START" dataDxfId="19"/>
    <tableColumn id="7" name="WORK START" dataDxfId="18"/>
    <tableColumn id="8" name="WORK COMPLETE" dataDxfId="17"/>
    <tableColumn id="9" name="TRAVEL END" dataDxfId="16"/>
    <tableColumn id="12" name="WORK" dataDxfId="15">
      <calculatedColumnFormula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calculatedColumnFormula>
    </tableColumn>
    <tableColumn id="10" name="TRAVEL" dataDxfId="14">
      <calculatedColumnFormula>IF(ISERR(Cases[[#This Row],[TRAVEL-1]]+Cases[[#This Row],[TRAVEL-2]]),"-",Cases[[#This Row],[TRAVEL-1]]+Cases[[#This Row],[TRAVEL-2]])</calculatedColumnFormula>
    </tableColumn>
    <tableColumn id="11" name="TOTAL" dataDxfId="13">
      <calculatedColumnFormula>IF(Cases[[#This Row],[CASE ID]]&lt;&gt;"",IF(OR(Cases[[#This Row],[TRAVEL START]]="",Cases[[#This Row],[TRAVEL END]]=""),"",Cases[[#This Row],[TRAVEL END]]-Cases[[#This Row],[TRAVEL START]]),"-")</calculatedColumnFormula>
    </tableColumn>
    <tableColumn id="13" name="TRAVEL-1" dataDxfId="12">
      <calculatedColumnFormula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calculatedColumnFormula>
    </tableColumn>
    <tableColumn id="14" name="TRAVEL-2" dataDxfId="11">
      <calculatedColumnFormula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calculatedColumnFormula>
    </tableColumn>
  </tableColumns>
  <tableStyleInfo name="Angga WISNU" showFirstColumn="0" showLastColumn="0" showRowStripes="1" showColumnStripes="0"/>
</table>
</file>

<file path=xl/tables/table2.xml><?xml version="1.0" encoding="utf-8"?>
<table xmlns="http://schemas.openxmlformats.org/spreadsheetml/2006/main" id="2" name="Overtime" displayName="Overtime" ref="P4:X64" totalsRowShown="0" headerRowDxfId="10" dataDxfId="9">
  <autoFilter ref="P4:X64"/>
  <tableColumns count="9">
    <tableColumn id="1" name="CASE_x000a_" dataDxfId="8">
      <calculatedColumnFormula>IF(Cases[[#This Row],[CASE ID]]&lt;&gt;"","NC","")</calculatedColumnFormula>
    </tableColumn>
    <tableColumn id="7" name="IS_x000a_STANDBY" dataDxfId="1">
      <calculatedColumnFormula>IF(Cases[[#This Row],[CASE ID]]&lt;&gt;"","NO","")</calculatedColumnFormula>
    </tableColumn>
    <tableColumn id="2" name="IS_x000a_OVERTIME" dataDxfId="0">
      <calculatedColumnFormula>IF(Cases[[#This Row],[CASE ID]]&lt;&gt;"","NO","")</calculatedColumnFormula>
    </tableColumn>
    <tableColumn id="9" name="HOLY_x000a_DAY" dataDxfId="7">
      <calculatedColumnFormula>IF(Cases[[#This Row],[CASE ID]]&lt;&gt;"","NO","")</calculatedColumnFormula>
    </tableColumn>
    <tableColumn id="3" name="OVERTIME_x000a_HOURS" dataDxfId="6"/>
    <tableColumn id="4" name="TRAVEL_x000a_HOURS" dataDxfId="5"/>
    <tableColumn id="10" name="NOTES" dataDxfId="4"/>
    <tableColumn id="8" name="TOTAL_x000a_HOURS" dataDxfId="3">
      <calculatedColumnFormula>IF(OR((Overtime[[#This Row],[OVERTIME
HOURS]]&gt;0),(Overtime[[#This Row],[TRAVEL
HOURS]]&gt;0)),Overtime[[#This Row],[OVERTIME
HOURS]]+Overtime[[#This Row],[TRAVEL
HOURS]],"")</calculatedColumnFormula>
    </tableColumn>
    <tableColumn id="5" name="STATUS" dataDxfId="2">
      <calculatedColumnFormula>IF(AND((Cases[[#This Row],[CASE ID]]&lt;&gt;""),(Overtime[[#This Row],[IS
OVERTIME]]="YES")),"{TO BE CALCULATED}","")</calculatedColumnFormula>
    </tableColumn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64"/>
  <sheetViews>
    <sheetView tabSelected="1" workbookViewId="0">
      <pane xSplit="5" ySplit="4" topLeftCell="F5" activePane="bottomRight" state="frozen"/>
      <selection activeCell="A2" sqref="A2"/>
      <selection pane="topRight" activeCell="F2" sqref="F2"/>
      <selection pane="bottomLeft" activeCell="A4" sqref="A4"/>
      <selection pane="bottomRight" activeCell="B5" sqref="B5"/>
    </sheetView>
  </sheetViews>
  <sheetFormatPr defaultRowHeight="14.4" x14ac:dyDescent="0.3"/>
  <cols>
    <col min="1" max="1" width="4.77734375" style="6" customWidth="1"/>
    <col min="2" max="2" width="14.77734375" style="6" bestFit="1" customWidth="1"/>
    <col min="3" max="3" width="13.88671875" style="6" bestFit="1" customWidth="1"/>
    <col min="4" max="4" width="22.77734375" style="7" customWidth="1"/>
    <col min="5" max="5" width="40.77734375" style="7" customWidth="1"/>
    <col min="6" max="9" width="15.77734375" style="8" customWidth="1"/>
    <col min="10" max="12" width="10.77734375" style="9" customWidth="1"/>
    <col min="13" max="14" width="10.77734375" style="9" hidden="1" customWidth="1"/>
    <col min="15" max="15" width="1.109375" style="7" customWidth="1"/>
    <col min="16" max="16" width="7.77734375" style="8" customWidth="1"/>
    <col min="17" max="17" width="10.77734375" style="8" customWidth="1"/>
    <col min="19" max="19" width="10.77734375" style="8" customWidth="1"/>
    <col min="20" max="20" width="10.77734375" customWidth="1"/>
    <col min="21" max="23" width="10.77734375" style="8" customWidth="1"/>
    <col min="24" max="24" width="40.77734375" style="8" customWidth="1"/>
    <col min="25" max="25" width="10.77734375" style="8" customWidth="1"/>
    <col min="26" max="26" width="20.33203125" style="8" customWidth="1"/>
    <col min="27" max="16384" width="8.88671875" style="8"/>
  </cols>
  <sheetData>
    <row r="1" spans="1:24" ht="14.4" hidden="1" customHeight="1" x14ac:dyDescent="0.3">
      <c r="A1" s="6">
        <v>1.3</v>
      </c>
      <c r="P1" s="31" t="s">
        <v>10</v>
      </c>
      <c r="Q1" s="31"/>
      <c r="R1" s="31"/>
      <c r="S1" s="31"/>
      <c r="T1" s="31"/>
      <c r="U1" s="31"/>
      <c r="V1" s="31"/>
      <c r="W1" s="31"/>
      <c r="X1" s="31"/>
    </row>
    <row r="2" spans="1:24" ht="15" thickBot="1" x14ac:dyDescent="0.35">
      <c r="A2" s="31" t="s">
        <v>11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10"/>
      <c r="N2" s="10"/>
      <c r="P2" s="30"/>
      <c r="Q2" s="30"/>
      <c r="R2" s="30"/>
      <c r="S2" s="30"/>
      <c r="T2" s="30"/>
      <c r="U2" s="30"/>
      <c r="V2" s="30"/>
      <c r="W2" s="30"/>
      <c r="X2" s="30"/>
    </row>
    <row r="3" spans="1:24" ht="15" thickTop="1" x14ac:dyDescent="0.3">
      <c r="A3" s="35" t="s">
        <v>25</v>
      </c>
      <c r="B3" s="36"/>
      <c r="C3" s="36"/>
      <c r="D3" s="36"/>
      <c r="E3" s="37"/>
      <c r="F3" s="34" t="s">
        <v>22</v>
      </c>
      <c r="G3" s="34"/>
      <c r="H3" s="34"/>
      <c r="I3" s="34"/>
      <c r="J3" s="32" t="s">
        <v>21</v>
      </c>
      <c r="K3" s="32"/>
      <c r="L3" s="33"/>
      <c r="M3" s="17"/>
      <c r="N3" s="11"/>
      <c r="P3" s="12"/>
      <c r="Q3" s="12"/>
      <c r="R3" s="12"/>
      <c r="S3" s="12"/>
      <c r="T3" s="12"/>
      <c r="U3" s="12"/>
      <c r="V3" s="12"/>
      <c r="W3" s="12"/>
      <c r="X3" s="12"/>
    </row>
    <row r="4" spans="1:24" s="5" customFormat="1" ht="28.2" customHeight="1" thickBot="1" x14ac:dyDescent="0.35">
      <c r="A4" s="19" t="s">
        <v>0</v>
      </c>
      <c r="B4" s="20" t="s">
        <v>1</v>
      </c>
      <c r="C4" s="20" t="s">
        <v>2</v>
      </c>
      <c r="D4" s="20" t="s">
        <v>3</v>
      </c>
      <c r="E4" s="20" t="s">
        <v>4</v>
      </c>
      <c r="F4" s="20" t="s">
        <v>5</v>
      </c>
      <c r="G4" s="20" t="s">
        <v>27</v>
      </c>
      <c r="H4" s="20" t="s">
        <v>26</v>
      </c>
      <c r="I4" s="20" t="s">
        <v>6</v>
      </c>
      <c r="J4" s="21" t="s">
        <v>18</v>
      </c>
      <c r="K4" s="21" t="s">
        <v>19</v>
      </c>
      <c r="L4" s="22" t="s">
        <v>20</v>
      </c>
      <c r="M4" s="18" t="s">
        <v>23</v>
      </c>
      <c r="N4" s="13" t="s">
        <v>24</v>
      </c>
      <c r="O4" s="14"/>
      <c r="P4" s="15" t="s">
        <v>17</v>
      </c>
      <c r="Q4" s="15" t="s">
        <v>12</v>
      </c>
      <c r="R4" s="15" t="s">
        <v>13</v>
      </c>
      <c r="S4" s="15" t="s">
        <v>16</v>
      </c>
      <c r="T4" s="15" t="s">
        <v>9</v>
      </c>
      <c r="U4" s="15" t="s">
        <v>8</v>
      </c>
      <c r="V4" s="15" t="s">
        <v>15</v>
      </c>
      <c r="W4" s="15" t="s">
        <v>14</v>
      </c>
      <c r="X4" s="5" t="s">
        <v>7</v>
      </c>
    </row>
    <row r="5" spans="1:24" s="5" customFormat="1" x14ac:dyDescent="0.3">
      <c r="A5" s="5">
        <v>1</v>
      </c>
      <c r="B5" s="1"/>
      <c r="C5" s="1"/>
      <c r="D5" s="2"/>
      <c r="E5" s="2"/>
      <c r="F5" s="3"/>
      <c r="G5" s="3"/>
      <c r="H5" s="3"/>
      <c r="I5" s="3"/>
      <c r="J5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5" s="25" t="str">
        <f>IF(ISERR(Cases[[#This Row],[TRAVEL-1]]+Cases[[#This Row],[TRAVEL-2]]),"-",Cases[[#This Row],[TRAVEL-1]]+Cases[[#This Row],[TRAVEL-2]])</f>
        <v>-</v>
      </c>
      <c r="L5" s="24" t="str">
        <f>IF(Cases[[#This Row],[CASE ID]]&lt;&gt;"",IF(OR(Cases[[#This Row],[TRAVEL START]]="",Cases[[#This Row],[TRAVEL END]]=""),"",Cases[[#This Row],[TRAVEL END]]-Cases[[#This Row],[TRAVEL START]]),"-")</f>
        <v>-</v>
      </c>
      <c r="M5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5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5" s="14"/>
      <c r="P5" s="4" t="str">
        <f>IF(Cases[[#This Row],[CASE ID]]&lt;&gt;"","NC","")</f>
        <v/>
      </c>
      <c r="Q5" s="4" t="str">
        <f>IF(Cases[[#This Row],[CASE ID]]&lt;&gt;"","NO","")</f>
        <v/>
      </c>
      <c r="R5" s="4" t="str">
        <f>IF(Cases[[#This Row],[CASE ID]]&lt;&gt;"","NO","")</f>
        <v/>
      </c>
      <c r="S5" s="4" t="str">
        <f>IF(Cases[[#This Row],[CASE ID]]&lt;&gt;"","NO","")</f>
        <v/>
      </c>
      <c r="T5" s="4"/>
      <c r="U5" s="4"/>
      <c r="V5" s="1"/>
      <c r="W5" s="28" t="str">
        <f>IF(OR((Overtime[[#This Row],[OVERTIME
HOURS]]&gt;0),(Overtime[[#This Row],[TRAVEL
HOURS]]&gt;0)),Overtime[[#This Row],[OVERTIME
HOURS]]+Overtime[[#This Row],[TRAVEL
HOURS]],"")</f>
        <v/>
      </c>
      <c r="X5" s="26" t="str">
        <f>IF(AND((Cases[[#This Row],[CASE ID]]&lt;&gt;""),(Overtime[[#This Row],[IS
OVERTIME]]="YES")),"{TO BE CALCULATED}","")</f>
        <v/>
      </c>
    </row>
    <row r="6" spans="1:24" s="5" customFormat="1" x14ac:dyDescent="0.3">
      <c r="A6" s="5">
        <v>2</v>
      </c>
      <c r="B6" s="1"/>
      <c r="C6" s="1"/>
      <c r="D6" s="2"/>
      <c r="E6" s="2"/>
      <c r="F6" s="3"/>
      <c r="G6" s="3"/>
      <c r="H6" s="3"/>
      <c r="I6" s="3"/>
      <c r="J6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6" s="25" t="str">
        <f>IF(ISERR(Cases[[#This Row],[TRAVEL-1]]+Cases[[#This Row],[TRAVEL-2]]),"-",Cases[[#This Row],[TRAVEL-1]]+Cases[[#This Row],[TRAVEL-2]])</f>
        <v>-</v>
      </c>
      <c r="L6" s="24" t="str">
        <f>IF(Cases[[#This Row],[CASE ID]]&lt;&gt;"",IF(OR(Cases[[#This Row],[TRAVEL START]]="",Cases[[#This Row],[TRAVEL END]]=""),"",Cases[[#This Row],[TRAVEL END]]-Cases[[#This Row],[TRAVEL START]]),"-")</f>
        <v>-</v>
      </c>
      <c r="M6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6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6" s="14"/>
      <c r="P6" s="4" t="str">
        <f>IF(Cases[[#This Row],[CASE ID]]&lt;&gt;"","NC","")</f>
        <v/>
      </c>
      <c r="Q6" s="4" t="str">
        <f>IF(Cases[[#This Row],[CASE ID]]&lt;&gt;"","NO","")</f>
        <v/>
      </c>
      <c r="R6" s="4" t="str">
        <f>IF(Cases[[#This Row],[CASE ID]]&lt;&gt;"","NO","")</f>
        <v/>
      </c>
      <c r="S6" s="4" t="str">
        <f>IF(Cases[[#This Row],[CASE ID]]&lt;&gt;"","NO","")</f>
        <v/>
      </c>
      <c r="T6" s="4"/>
      <c r="U6" s="4"/>
      <c r="V6" s="1"/>
      <c r="W6" s="28" t="str">
        <f>IF(OR((Overtime[[#This Row],[OVERTIME
HOURS]]&gt;0),(Overtime[[#This Row],[TRAVEL
HOURS]]&gt;0)),Overtime[[#This Row],[OVERTIME
HOURS]]+Overtime[[#This Row],[TRAVEL
HOURS]],"")</f>
        <v/>
      </c>
      <c r="X6" s="26" t="str">
        <f>IF(AND((Cases[[#This Row],[CASE ID]]&lt;&gt;""),(Overtime[[#This Row],[IS
OVERTIME]]="YES")),"{TO BE CALCULATED}","")</f>
        <v/>
      </c>
    </row>
    <row r="7" spans="1:24" s="5" customFormat="1" x14ac:dyDescent="0.3">
      <c r="A7" s="5">
        <v>3</v>
      </c>
      <c r="B7" s="1"/>
      <c r="C7" s="1"/>
      <c r="D7" s="2"/>
      <c r="E7" s="2"/>
      <c r="F7" s="3"/>
      <c r="G7" s="3"/>
      <c r="H7" s="3"/>
      <c r="I7" s="3"/>
      <c r="J7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7" s="25" t="str">
        <f>IF(ISERR(Cases[[#This Row],[TRAVEL-1]]+Cases[[#This Row],[TRAVEL-2]]),"-",Cases[[#This Row],[TRAVEL-1]]+Cases[[#This Row],[TRAVEL-2]])</f>
        <v>-</v>
      </c>
      <c r="L7" s="24" t="str">
        <f>IF(Cases[[#This Row],[CASE ID]]&lt;&gt;"",IF(OR(Cases[[#This Row],[TRAVEL START]]="",Cases[[#This Row],[TRAVEL END]]=""),"",Cases[[#This Row],[TRAVEL END]]-Cases[[#This Row],[TRAVEL START]]),"-")</f>
        <v>-</v>
      </c>
      <c r="M7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7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7" s="14"/>
      <c r="P7" s="4" t="str">
        <f>IF(Cases[[#This Row],[CASE ID]]&lt;&gt;"","NC","")</f>
        <v/>
      </c>
      <c r="Q7" s="4" t="str">
        <f>IF(Cases[[#This Row],[CASE ID]]&lt;&gt;"","NO","")</f>
        <v/>
      </c>
      <c r="R7" s="4" t="str">
        <f>IF(Cases[[#This Row],[CASE ID]]&lt;&gt;"","NO","")</f>
        <v/>
      </c>
      <c r="S7" s="4" t="str">
        <f>IF(Cases[[#This Row],[CASE ID]]&lt;&gt;"","NO","")</f>
        <v/>
      </c>
      <c r="T7" s="4"/>
      <c r="U7" s="4"/>
      <c r="V7" s="1"/>
      <c r="W7" s="28" t="str">
        <f>IF(OR((Overtime[[#This Row],[OVERTIME
HOURS]]&gt;0),(Overtime[[#This Row],[TRAVEL
HOURS]]&gt;0)),Overtime[[#This Row],[OVERTIME
HOURS]]+Overtime[[#This Row],[TRAVEL
HOURS]],"")</f>
        <v/>
      </c>
      <c r="X7" s="26" t="str">
        <f>IF(AND((Cases[[#This Row],[CASE ID]]&lt;&gt;""),(Overtime[[#This Row],[IS
OVERTIME]]="YES")),"{TO BE CALCULATED}","")</f>
        <v/>
      </c>
    </row>
    <row r="8" spans="1:24" s="5" customFormat="1" x14ac:dyDescent="0.3">
      <c r="A8" s="5">
        <v>4</v>
      </c>
      <c r="B8" s="1"/>
      <c r="C8" s="1"/>
      <c r="D8" s="2"/>
      <c r="E8" s="2"/>
      <c r="F8" s="3"/>
      <c r="G8" s="3"/>
      <c r="H8" s="3"/>
      <c r="I8" s="3"/>
      <c r="J8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8" s="25" t="str">
        <f>IF(ISERR(Cases[[#This Row],[TRAVEL-1]]+Cases[[#This Row],[TRAVEL-2]]),"-",Cases[[#This Row],[TRAVEL-1]]+Cases[[#This Row],[TRAVEL-2]])</f>
        <v>-</v>
      </c>
      <c r="L8" s="24" t="str">
        <f>IF(Cases[[#This Row],[CASE ID]]&lt;&gt;"",IF(OR(Cases[[#This Row],[TRAVEL START]]="",Cases[[#This Row],[TRAVEL END]]=""),"",Cases[[#This Row],[TRAVEL END]]-Cases[[#This Row],[TRAVEL START]]),"-")</f>
        <v>-</v>
      </c>
      <c r="M8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8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8" s="14"/>
      <c r="P8" s="4" t="str">
        <f>IF(Cases[[#This Row],[CASE ID]]&lt;&gt;"","NC","")</f>
        <v/>
      </c>
      <c r="Q8" s="4" t="str">
        <f>IF(Cases[[#This Row],[CASE ID]]&lt;&gt;"","NO","")</f>
        <v/>
      </c>
      <c r="R8" s="4" t="str">
        <f>IF(Cases[[#This Row],[CASE ID]]&lt;&gt;"","NO","")</f>
        <v/>
      </c>
      <c r="S8" s="4" t="str">
        <f>IF(Cases[[#This Row],[CASE ID]]&lt;&gt;"","NO","")</f>
        <v/>
      </c>
      <c r="T8" s="4"/>
      <c r="U8" s="4"/>
      <c r="V8" s="1"/>
      <c r="W8" s="28" t="str">
        <f>IF(OR((Overtime[[#This Row],[OVERTIME
HOURS]]&gt;0),(Overtime[[#This Row],[TRAVEL
HOURS]]&gt;0)),Overtime[[#This Row],[OVERTIME
HOURS]]+Overtime[[#This Row],[TRAVEL
HOURS]],"")</f>
        <v/>
      </c>
      <c r="X8" s="26" t="str">
        <f>IF(AND((Cases[[#This Row],[CASE ID]]&lt;&gt;""),(Overtime[[#This Row],[IS
OVERTIME]]="YES")),"{TO BE CALCULATED}","")</f>
        <v/>
      </c>
    </row>
    <row r="9" spans="1:24" s="5" customFormat="1" x14ac:dyDescent="0.3">
      <c r="A9" s="5">
        <v>5</v>
      </c>
      <c r="B9" s="1"/>
      <c r="C9" s="1"/>
      <c r="D9" s="2"/>
      <c r="E9" s="2"/>
      <c r="F9" s="3"/>
      <c r="G9" s="3"/>
      <c r="H9" s="3"/>
      <c r="I9" s="3"/>
      <c r="J9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9" s="25" t="str">
        <f>IF(ISERR(Cases[[#This Row],[TRAVEL-1]]+Cases[[#This Row],[TRAVEL-2]]),"-",Cases[[#This Row],[TRAVEL-1]]+Cases[[#This Row],[TRAVEL-2]])</f>
        <v>-</v>
      </c>
      <c r="L9" s="24" t="str">
        <f>IF(Cases[[#This Row],[CASE ID]]&lt;&gt;"",IF(OR(Cases[[#This Row],[TRAVEL START]]="",Cases[[#This Row],[TRAVEL END]]=""),"",Cases[[#This Row],[TRAVEL END]]-Cases[[#This Row],[TRAVEL START]]),"-")</f>
        <v>-</v>
      </c>
      <c r="M9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9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9" s="14"/>
      <c r="P9" s="4" t="str">
        <f>IF(Cases[[#This Row],[CASE ID]]&lt;&gt;"","NC","")</f>
        <v/>
      </c>
      <c r="Q9" s="4" t="str">
        <f>IF(Cases[[#This Row],[CASE ID]]&lt;&gt;"","NO","")</f>
        <v/>
      </c>
      <c r="R9" s="4" t="str">
        <f>IF(Cases[[#This Row],[CASE ID]]&lt;&gt;"","NO","")</f>
        <v/>
      </c>
      <c r="S9" s="4" t="str">
        <f>IF(Cases[[#This Row],[CASE ID]]&lt;&gt;"","NO","")</f>
        <v/>
      </c>
      <c r="T9" s="4"/>
      <c r="U9" s="4"/>
      <c r="V9" s="1"/>
      <c r="W9" s="28" t="str">
        <f>IF(OR((Overtime[[#This Row],[OVERTIME
HOURS]]&gt;0),(Overtime[[#This Row],[TRAVEL
HOURS]]&gt;0)),Overtime[[#This Row],[OVERTIME
HOURS]]+Overtime[[#This Row],[TRAVEL
HOURS]],"")</f>
        <v/>
      </c>
      <c r="X9" s="26" t="str">
        <f>IF(AND((Cases[[#This Row],[CASE ID]]&lt;&gt;""),(Overtime[[#This Row],[IS
OVERTIME]]="YES")),"{TO BE CALCULATED}","")</f>
        <v/>
      </c>
    </row>
    <row r="10" spans="1:24" s="5" customFormat="1" x14ac:dyDescent="0.3">
      <c r="A10" s="5">
        <v>6</v>
      </c>
      <c r="B10" s="1"/>
      <c r="C10" s="1"/>
      <c r="D10" s="2"/>
      <c r="E10" s="2"/>
      <c r="F10" s="3"/>
      <c r="G10" s="3"/>
      <c r="H10" s="3"/>
      <c r="I10" s="3"/>
      <c r="J10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10" s="25" t="str">
        <f>IF(ISERR(Cases[[#This Row],[TRAVEL-1]]+Cases[[#This Row],[TRAVEL-2]]),"-",Cases[[#This Row],[TRAVEL-1]]+Cases[[#This Row],[TRAVEL-2]])</f>
        <v>-</v>
      </c>
      <c r="L10" s="24" t="str">
        <f>IF(Cases[[#This Row],[CASE ID]]&lt;&gt;"",IF(OR(Cases[[#This Row],[TRAVEL START]]="",Cases[[#This Row],[TRAVEL END]]=""),"",Cases[[#This Row],[TRAVEL END]]-Cases[[#This Row],[TRAVEL START]]),"-")</f>
        <v>-</v>
      </c>
      <c r="M10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10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10" s="14"/>
      <c r="P10" s="4" t="str">
        <f>IF(Cases[[#This Row],[CASE ID]]&lt;&gt;"","NC","")</f>
        <v/>
      </c>
      <c r="Q10" s="4" t="str">
        <f>IF(Cases[[#This Row],[CASE ID]]&lt;&gt;"","NO","")</f>
        <v/>
      </c>
      <c r="R10" s="4" t="str">
        <f>IF(Cases[[#This Row],[CASE ID]]&lt;&gt;"","NO","")</f>
        <v/>
      </c>
      <c r="S10" s="4" t="str">
        <f>IF(Cases[[#This Row],[CASE ID]]&lt;&gt;"","NO","")</f>
        <v/>
      </c>
      <c r="T10" s="4"/>
      <c r="U10" s="4"/>
      <c r="V10" s="1"/>
      <c r="W10" s="28" t="str">
        <f>IF(OR((Overtime[[#This Row],[OVERTIME
HOURS]]&gt;0),(Overtime[[#This Row],[TRAVEL
HOURS]]&gt;0)),Overtime[[#This Row],[OVERTIME
HOURS]]+Overtime[[#This Row],[TRAVEL
HOURS]],"")</f>
        <v/>
      </c>
      <c r="X10" s="26" t="str">
        <f>IF(AND((Cases[[#This Row],[CASE ID]]&lt;&gt;""),(Overtime[[#This Row],[IS
OVERTIME]]="YES")),"{TO BE CALCULATED}","")</f>
        <v/>
      </c>
    </row>
    <row r="11" spans="1:24" s="5" customFormat="1" x14ac:dyDescent="0.3">
      <c r="A11" s="5">
        <v>7</v>
      </c>
      <c r="B11" s="1"/>
      <c r="C11" s="1"/>
      <c r="D11" s="2"/>
      <c r="E11" s="2"/>
      <c r="F11" s="3"/>
      <c r="G11" s="3"/>
      <c r="H11" s="3"/>
      <c r="I11" s="3"/>
      <c r="J11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11" s="25" t="str">
        <f>IF(ISERR(Cases[[#This Row],[TRAVEL-1]]+Cases[[#This Row],[TRAVEL-2]]),"-",Cases[[#This Row],[TRAVEL-1]]+Cases[[#This Row],[TRAVEL-2]])</f>
        <v>-</v>
      </c>
      <c r="L11" s="24" t="str">
        <f>IF(Cases[[#This Row],[CASE ID]]&lt;&gt;"",IF(OR(Cases[[#This Row],[TRAVEL START]]="",Cases[[#This Row],[TRAVEL END]]=""),"",Cases[[#This Row],[TRAVEL END]]-Cases[[#This Row],[TRAVEL START]]),"-")</f>
        <v>-</v>
      </c>
      <c r="M11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11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11" s="14"/>
      <c r="P11" s="4" t="str">
        <f>IF(Cases[[#This Row],[CASE ID]]&lt;&gt;"","NC","")</f>
        <v/>
      </c>
      <c r="Q11" s="4" t="str">
        <f>IF(Cases[[#This Row],[CASE ID]]&lt;&gt;"","NO","")</f>
        <v/>
      </c>
      <c r="R11" s="4" t="str">
        <f>IF(Cases[[#This Row],[CASE ID]]&lt;&gt;"","NO","")</f>
        <v/>
      </c>
      <c r="S11" s="4" t="str">
        <f>IF(Cases[[#This Row],[CASE ID]]&lt;&gt;"","NO","")</f>
        <v/>
      </c>
      <c r="T11" s="4"/>
      <c r="U11" s="4"/>
      <c r="V11" s="1"/>
      <c r="W11" s="28" t="str">
        <f>IF(OR((Overtime[[#This Row],[OVERTIME
HOURS]]&gt;0),(Overtime[[#This Row],[TRAVEL
HOURS]]&gt;0)),Overtime[[#This Row],[OVERTIME
HOURS]]+Overtime[[#This Row],[TRAVEL
HOURS]],"")</f>
        <v/>
      </c>
      <c r="X11" s="26" t="str">
        <f>IF(AND((Cases[[#This Row],[CASE ID]]&lt;&gt;""),(Overtime[[#This Row],[IS
OVERTIME]]="YES")),"{TO BE CALCULATED}","")</f>
        <v/>
      </c>
    </row>
    <row r="12" spans="1:24" s="5" customFormat="1" x14ac:dyDescent="0.3">
      <c r="A12" s="5">
        <v>8</v>
      </c>
      <c r="B12" s="1"/>
      <c r="C12" s="1"/>
      <c r="D12" s="2"/>
      <c r="E12" s="2"/>
      <c r="F12" s="3"/>
      <c r="G12" s="3"/>
      <c r="H12" s="3"/>
      <c r="I12" s="3"/>
      <c r="J12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12" s="25" t="str">
        <f>IF(ISERR(Cases[[#This Row],[TRAVEL-1]]+Cases[[#This Row],[TRAVEL-2]]),"-",Cases[[#This Row],[TRAVEL-1]]+Cases[[#This Row],[TRAVEL-2]])</f>
        <v>-</v>
      </c>
      <c r="L12" s="24" t="str">
        <f>IF(Cases[[#This Row],[CASE ID]]&lt;&gt;"",IF(OR(Cases[[#This Row],[TRAVEL START]]="",Cases[[#This Row],[TRAVEL END]]=""),"",Cases[[#This Row],[TRAVEL END]]-Cases[[#This Row],[TRAVEL START]]),"-")</f>
        <v>-</v>
      </c>
      <c r="M12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12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12" s="14"/>
      <c r="P12" s="4" t="str">
        <f>IF(Cases[[#This Row],[CASE ID]]&lt;&gt;"","NC","")</f>
        <v/>
      </c>
      <c r="Q12" s="4" t="str">
        <f>IF(Cases[[#This Row],[CASE ID]]&lt;&gt;"","NO","")</f>
        <v/>
      </c>
      <c r="R12" s="4" t="str">
        <f>IF(Cases[[#This Row],[CASE ID]]&lt;&gt;"","NO","")</f>
        <v/>
      </c>
      <c r="S12" s="4" t="str">
        <f>IF(Cases[[#This Row],[CASE ID]]&lt;&gt;"","NO","")</f>
        <v/>
      </c>
      <c r="T12" s="4"/>
      <c r="U12" s="4"/>
      <c r="V12" s="1"/>
      <c r="W12" s="28" t="str">
        <f>IF(OR((Overtime[[#This Row],[OVERTIME
HOURS]]&gt;0),(Overtime[[#This Row],[TRAVEL
HOURS]]&gt;0)),Overtime[[#This Row],[OVERTIME
HOURS]]+Overtime[[#This Row],[TRAVEL
HOURS]],"")</f>
        <v/>
      </c>
      <c r="X12" s="26" t="str">
        <f>IF(AND((Cases[[#This Row],[CASE ID]]&lt;&gt;""),(Overtime[[#This Row],[IS
OVERTIME]]="YES")),"{TO BE CALCULATED}","")</f>
        <v/>
      </c>
    </row>
    <row r="13" spans="1:24" s="5" customFormat="1" x14ac:dyDescent="0.3">
      <c r="A13" s="5">
        <v>9</v>
      </c>
      <c r="B13" s="1"/>
      <c r="C13" s="1"/>
      <c r="D13" s="2"/>
      <c r="E13" s="2"/>
      <c r="F13" s="3"/>
      <c r="G13" s="3"/>
      <c r="H13" s="3"/>
      <c r="I13" s="3"/>
      <c r="J13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13" s="25" t="str">
        <f>IF(ISERR(Cases[[#This Row],[TRAVEL-1]]+Cases[[#This Row],[TRAVEL-2]]),"-",Cases[[#This Row],[TRAVEL-1]]+Cases[[#This Row],[TRAVEL-2]])</f>
        <v>-</v>
      </c>
      <c r="L13" s="24" t="str">
        <f>IF(Cases[[#This Row],[CASE ID]]&lt;&gt;"",IF(OR(Cases[[#This Row],[TRAVEL START]]="",Cases[[#This Row],[TRAVEL END]]=""),"",Cases[[#This Row],[TRAVEL END]]-Cases[[#This Row],[TRAVEL START]]),"-")</f>
        <v>-</v>
      </c>
      <c r="M13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13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13" s="14"/>
      <c r="P13" s="4" t="str">
        <f>IF(Cases[[#This Row],[CASE ID]]&lt;&gt;"","NC","")</f>
        <v/>
      </c>
      <c r="Q13" s="4" t="str">
        <f>IF(Cases[[#This Row],[CASE ID]]&lt;&gt;"","NO","")</f>
        <v/>
      </c>
      <c r="R13" s="4" t="str">
        <f>IF(Cases[[#This Row],[CASE ID]]&lt;&gt;"","NO","")</f>
        <v/>
      </c>
      <c r="S13" s="4" t="str">
        <f>IF(Cases[[#This Row],[CASE ID]]&lt;&gt;"","NO","")</f>
        <v/>
      </c>
      <c r="T13" s="4"/>
      <c r="U13" s="4"/>
      <c r="V13" s="1"/>
      <c r="W13" s="28" t="str">
        <f>IF(OR((Overtime[[#This Row],[OVERTIME
HOURS]]&gt;0),(Overtime[[#This Row],[TRAVEL
HOURS]]&gt;0)),Overtime[[#This Row],[OVERTIME
HOURS]]+Overtime[[#This Row],[TRAVEL
HOURS]],"")</f>
        <v/>
      </c>
      <c r="X13" s="26" t="str">
        <f>IF(AND((Cases[[#This Row],[CASE ID]]&lt;&gt;""),(Overtime[[#This Row],[IS
OVERTIME]]="YES")),"{TO BE CALCULATED}","")</f>
        <v/>
      </c>
    </row>
    <row r="14" spans="1:24" s="5" customFormat="1" x14ac:dyDescent="0.3">
      <c r="A14" s="5">
        <v>10</v>
      </c>
      <c r="B14" s="1"/>
      <c r="C14" s="1"/>
      <c r="D14" s="2"/>
      <c r="E14" s="2"/>
      <c r="F14" s="3"/>
      <c r="G14" s="3"/>
      <c r="H14" s="3"/>
      <c r="I14" s="3"/>
      <c r="J14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14" s="25" t="str">
        <f>IF(ISERR(Cases[[#This Row],[TRAVEL-1]]+Cases[[#This Row],[TRAVEL-2]]),"-",Cases[[#This Row],[TRAVEL-1]]+Cases[[#This Row],[TRAVEL-2]])</f>
        <v>-</v>
      </c>
      <c r="L14" s="24" t="str">
        <f>IF(Cases[[#This Row],[CASE ID]]&lt;&gt;"",IF(OR(Cases[[#This Row],[TRAVEL START]]="",Cases[[#This Row],[TRAVEL END]]=""),"",Cases[[#This Row],[TRAVEL END]]-Cases[[#This Row],[TRAVEL START]]),"-")</f>
        <v>-</v>
      </c>
      <c r="M14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14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14" s="14"/>
      <c r="P14" s="4" t="str">
        <f>IF(Cases[[#This Row],[CASE ID]]&lt;&gt;"","NC","")</f>
        <v/>
      </c>
      <c r="Q14" s="4" t="str">
        <f>IF(Cases[[#This Row],[CASE ID]]&lt;&gt;"","NO","")</f>
        <v/>
      </c>
      <c r="R14" s="4" t="str">
        <f>IF(Cases[[#This Row],[CASE ID]]&lt;&gt;"","NO","")</f>
        <v/>
      </c>
      <c r="S14" s="4" t="str">
        <f>IF(Cases[[#This Row],[CASE ID]]&lt;&gt;"","NO","")</f>
        <v/>
      </c>
      <c r="T14" s="4"/>
      <c r="U14" s="4"/>
      <c r="V14" s="1"/>
      <c r="W14" s="28" t="str">
        <f>IF(OR((Overtime[[#This Row],[OVERTIME
HOURS]]&gt;0),(Overtime[[#This Row],[TRAVEL
HOURS]]&gt;0)),Overtime[[#This Row],[OVERTIME
HOURS]]+Overtime[[#This Row],[TRAVEL
HOURS]],"")</f>
        <v/>
      </c>
      <c r="X14" s="26" t="str">
        <f>IF(AND((Cases[[#This Row],[CASE ID]]&lt;&gt;""),(Overtime[[#This Row],[IS
OVERTIME]]="YES")),"{TO BE CALCULATED}","")</f>
        <v/>
      </c>
    </row>
    <row r="15" spans="1:24" s="5" customFormat="1" x14ac:dyDescent="0.3">
      <c r="A15" s="5">
        <v>11</v>
      </c>
      <c r="B15" s="1"/>
      <c r="C15" s="1"/>
      <c r="D15" s="2"/>
      <c r="E15" s="2"/>
      <c r="F15" s="3"/>
      <c r="G15" s="3"/>
      <c r="H15" s="3"/>
      <c r="I15" s="3"/>
      <c r="J15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15" s="25" t="str">
        <f>IF(ISERR(Cases[[#This Row],[TRAVEL-1]]+Cases[[#This Row],[TRAVEL-2]]),"-",Cases[[#This Row],[TRAVEL-1]]+Cases[[#This Row],[TRAVEL-2]])</f>
        <v>-</v>
      </c>
      <c r="L15" s="24" t="str">
        <f>IF(Cases[[#This Row],[CASE ID]]&lt;&gt;"",IF(OR(Cases[[#This Row],[TRAVEL START]]="",Cases[[#This Row],[TRAVEL END]]=""),"",Cases[[#This Row],[TRAVEL END]]-Cases[[#This Row],[TRAVEL START]]),"-")</f>
        <v>-</v>
      </c>
      <c r="M15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15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15" s="14"/>
      <c r="P15" s="4" t="str">
        <f>IF(Cases[[#This Row],[CASE ID]]&lt;&gt;"","NC","")</f>
        <v/>
      </c>
      <c r="Q15" s="4" t="str">
        <f>IF(Cases[[#This Row],[CASE ID]]&lt;&gt;"","NO","")</f>
        <v/>
      </c>
      <c r="R15" s="4" t="str">
        <f>IF(Cases[[#This Row],[CASE ID]]&lt;&gt;"","NO","")</f>
        <v/>
      </c>
      <c r="S15" s="4" t="str">
        <f>IF(Cases[[#This Row],[CASE ID]]&lt;&gt;"","NO","")</f>
        <v/>
      </c>
      <c r="T15" s="4"/>
      <c r="U15" s="4"/>
      <c r="V15" s="1"/>
      <c r="W15" s="28" t="str">
        <f>IF(OR((Overtime[[#This Row],[OVERTIME
HOURS]]&gt;0),(Overtime[[#This Row],[TRAVEL
HOURS]]&gt;0)),Overtime[[#This Row],[OVERTIME
HOURS]]+Overtime[[#This Row],[TRAVEL
HOURS]],"")</f>
        <v/>
      </c>
      <c r="X15" s="26" t="str">
        <f>IF(AND((Cases[[#This Row],[CASE ID]]&lt;&gt;""),(Overtime[[#This Row],[IS
OVERTIME]]="YES")),"{TO BE CALCULATED}","")</f>
        <v/>
      </c>
    </row>
    <row r="16" spans="1:24" s="5" customFormat="1" x14ac:dyDescent="0.3">
      <c r="A16" s="5">
        <v>12</v>
      </c>
      <c r="B16" s="1"/>
      <c r="C16" s="1"/>
      <c r="D16" s="2"/>
      <c r="E16" s="2"/>
      <c r="F16" s="3"/>
      <c r="G16" s="3"/>
      <c r="H16" s="3"/>
      <c r="I16" s="3"/>
      <c r="J16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16" s="25" t="str">
        <f>IF(ISERR(Cases[[#This Row],[TRAVEL-1]]+Cases[[#This Row],[TRAVEL-2]]),"-",Cases[[#This Row],[TRAVEL-1]]+Cases[[#This Row],[TRAVEL-2]])</f>
        <v>-</v>
      </c>
      <c r="L16" s="24" t="str">
        <f>IF(Cases[[#This Row],[CASE ID]]&lt;&gt;"",IF(OR(Cases[[#This Row],[TRAVEL START]]="",Cases[[#This Row],[TRAVEL END]]=""),"",Cases[[#This Row],[TRAVEL END]]-Cases[[#This Row],[TRAVEL START]]),"-")</f>
        <v>-</v>
      </c>
      <c r="M16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16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16" s="14"/>
      <c r="P16" s="4" t="str">
        <f>IF(Cases[[#This Row],[CASE ID]]&lt;&gt;"","NC","")</f>
        <v/>
      </c>
      <c r="Q16" s="4" t="str">
        <f>IF(Cases[[#This Row],[CASE ID]]&lt;&gt;"","NO","")</f>
        <v/>
      </c>
      <c r="R16" s="4" t="str">
        <f>IF(Cases[[#This Row],[CASE ID]]&lt;&gt;"","NO","")</f>
        <v/>
      </c>
      <c r="S16" s="4" t="str">
        <f>IF(Cases[[#This Row],[CASE ID]]&lt;&gt;"","NO","")</f>
        <v/>
      </c>
      <c r="T16" s="4"/>
      <c r="U16" s="4"/>
      <c r="V16" s="1"/>
      <c r="W16" s="28" t="str">
        <f>IF(OR((Overtime[[#This Row],[OVERTIME
HOURS]]&gt;0),(Overtime[[#This Row],[TRAVEL
HOURS]]&gt;0)),Overtime[[#This Row],[OVERTIME
HOURS]]+Overtime[[#This Row],[TRAVEL
HOURS]],"")</f>
        <v/>
      </c>
      <c r="X16" s="26" t="str">
        <f>IF(AND((Cases[[#This Row],[CASE ID]]&lt;&gt;""),(Overtime[[#This Row],[IS
OVERTIME]]="YES")),"{TO BE CALCULATED}","")</f>
        <v/>
      </c>
    </row>
    <row r="17" spans="1:24" s="5" customFormat="1" x14ac:dyDescent="0.3">
      <c r="A17" s="5">
        <v>13</v>
      </c>
      <c r="B17" s="1"/>
      <c r="C17" s="1"/>
      <c r="D17" s="2"/>
      <c r="E17" s="2"/>
      <c r="F17" s="3"/>
      <c r="G17" s="3"/>
      <c r="H17" s="3"/>
      <c r="I17" s="3"/>
      <c r="J17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17" s="25" t="str">
        <f>IF(ISERR(Cases[[#This Row],[TRAVEL-1]]+Cases[[#This Row],[TRAVEL-2]]),"-",Cases[[#This Row],[TRAVEL-1]]+Cases[[#This Row],[TRAVEL-2]])</f>
        <v>-</v>
      </c>
      <c r="L17" s="24" t="str">
        <f>IF(Cases[[#This Row],[CASE ID]]&lt;&gt;"",IF(OR(Cases[[#This Row],[TRAVEL START]]="",Cases[[#This Row],[TRAVEL END]]=""),"",Cases[[#This Row],[TRAVEL END]]-Cases[[#This Row],[TRAVEL START]]),"-")</f>
        <v>-</v>
      </c>
      <c r="M17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17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17" s="14"/>
      <c r="P17" s="4" t="str">
        <f>IF(Cases[[#This Row],[CASE ID]]&lt;&gt;"","NC","")</f>
        <v/>
      </c>
      <c r="Q17" s="4" t="str">
        <f>IF(Cases[[#This Row],[CASE ID]]&lt;&gt;"","NO","")</f>
        <v/>
      </c>
      <c r="R17" s="4" t="str">
        <f>IF(Cases[[#This Row],[CASE ID]]&lt;&gt;"","NO","")</f>
        <v/>
      </c>
      <c r="S17" s="4" t="str">
        <f>IF(Cases[[#This Row],[CASE ID]]&lt;&gt;"","NO","")</f>
        <v/>
      </c>
      <c r="T17" s="4"/>
      <c r="U17" s="4"/>
      <c r="V17" s="1"/>
      <c r="W17" s="28" t="str">
        <f>IF(OR((Overtime[[#This Row],[OVERTIME
HOURS]]&gt;0),(Overtime[[#This Row],[TRAVEL
HOURS]]&gt;0)),Overtime[[#This Row],[OVERTIME
HOURS]]+Overtime[[#This Row],[TRAVEL
HOURS]],"")</f>
        <v/>
      </c>
      <c r="X17" s="26" t="str">
        <f>IF(AND((Cases[[#This Row],[CASE ID]]&lt;&gt;""),(Overtime[[#This Row],[IS
OVERTIME]]="YES")),"{TO BE CALCULATED}","")</f>
        <v/>
      </c>
    </row>
    <row r="18" spans="1:24" s="5" customFormat="1" x14ac:dyDescent="0.3">
      <c r="A18" s="5">
        <v>14</v>
      </c>
      <c r="B18" s="1"/>
      <c r="C18" s="1"/>
      <c r="D18" s="2"/>
      <c r="E18" s="2"/>
      <c r="F18" s="3"/>
      <c r="G18" s="3"/>
      <c r="H18" s="3"/>
      <c r="I18" s="3"/>
      <c r="J18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18" s="25" t="str">
        <f>IF(ISERR(Cases[[#This Row],[TRAVEL-1]]+Cases[[#This Row],[TRAVEL-2]]),"-",Cases[[#This Row],[TRAVEL-1]]+Cases[[#This Row],[TRAVEL-2]])</f>
        <v>-</v>
      </c>
      <c r="L18" s="24" t="str">
        <f>IF(Cases[[#This Row],[CASE ID]]&lt;&gt;"",IF(OR(Cases[[#This Row],[TRAVEL START]]="",Cases[[#This Row],[TRAVEL END]]=""),"",Cases[[#This Row],[TRAVEL END]]-Cases[[#This Row],[TRAVEL START]]),"-")</f>
        <v>-</v>
      </c>
      <c r="M18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18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18" s="14"/>
      <c r="P18" s="4" t="str">
        <f>IF(Cases[[#This Row],[CASE ID]]&lt;&gt;"","NC","")</f>
        <v/>
      </c>
      <c r="Q18" s="4" t="str">
        <f>IF(Cases[[#This Row],[CASE ID]]&lt;&gt;"","NO","")</f>
        <v/>
      </c>
      <c r="R18" s="4" t="str">
        <f>IF(Cases[[#This Row],[CASE ID]]&lt;&gt;"","NO","")</f>
        <v/>
      </c>
      <c r="S18" s="4" t="str">
        <f>IF(Cases[[#This Row],[CASE ID]]&lt;&gt;"","NO","")</f>
        <v/>
      </c>
      <c r="T18" s="4"/>
      <c r="U18" s="4"/>
      <c r="V18" s="1"/>
      <c r="W18" s="28" t="str">
        <f>IF(OR((Overtime[[#This Row],[OVERTIME
HOURS]]&gt;0),(Overtime[[#This Row],[TRAVEL
HOURS]]&gt;0)),Overtime[[#This Row],[OVERTIME
HOURS]]+Overtime[[#This Row],[TRAVEL
HOURS]],"")</f>
        <v/>
      </c>
      <c r="X18" s="26" t="str">
        <f>IF(AND((Cases[[#This Row],[CASE ID]]&lt;&gt;""),(Overtime[[#This Row],[IS
OVERTIME]]="YES")),"{TO BE CALCULATED}","")</f>
        <v/>
      </c>
    </row>
    <row r="19" spans="1:24" s="5" customFormat="1" x14ac:dyDescent="0.3">
      <c r="A19" s="5">
        <v>15</v>
      </c>
      <c r="B19" s="1"/>
      <c r="C19" s="1"/>
      <c r="D19" s="2"/>
      <c r="E19" s="2"/>
      <c r="F19" s="3"/>
      <c r="G19" s="3"/>
      <c r="H19" s="3"/>
      <c r="I19" s="3"/>
      <c r="J19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19" s="25" t="str">
        <f>IF(ISERR(Cases[[#This Row],[TRAVEL-1]]+Cases[[#This Row],[TRAVEL-2]]),"-",Cases[[#This Row],[TRAVEL-1]]+Cases[[#This Row],[TRAVEL-2]])</f>
        <v>-</v>
      </c>
      <c r="L19" s="24" t="str">
        <f>IF(Cases[[#This Row],[CASE ID]]&lt;&gt;"",IF(OR(Cases[[#This Row],[TRAVEL START]]="",Cases[[#This Row],[TRAVEL END]]=""),"",Cases[[#This Row],[TRAVEL END]]-Cases[[#This Row],[TRAVEL START]]),"-")</f>
        <v>-</v>
      </c>
      <c r="M19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19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19" s="14"/>
      <c r="P19" s="4" t="str">
        <f>IF(Cases[[#This Row],[CASE ID]]&lt;&gt;"","NC","")</f>
        <v/>
      </c>
      <c r="Q19" s="4" t="str">
        <f>IF(Cases[[#This Row],[CASE ID]]&lt;&gt;"","NO","")</f>
        <v/>
      </c>
      <c r="R19" s="4" t="str">
        <f>IF(Cases[[#This Row],[CASE ID]]&lt;&gt;"","NO","")</f>
        <v/>
      </c>
      <c r="S19" s="4" t="str">
        <f>IF(Cases[[#This Row],[CASE ID]]&lt;&gt;"","NO","")</f>
        <v/>
      </c>
      <c r="T19" s="4"/>
      <c r="U19" s="4"/>
      <c r="V19" s="1"/>
      <c r="W19" s="28" t="str">
        <f>IF(OR((Overtime[[#This Row],[OVERTIME
HOURS]]&gt;0),(Overtime[[#This Row],[TRAVEL
HOURS]]&gt;0)),Overtime[[#This Row],[OVERTIME
HOURS]]+Overtime[[#This Row],[TRAVEL
HOURS]],"")</f>
        <v/>
      </c>
      <c r="X19" s="26" t="str">
        <f>IF(AND((Cases[[#This Row],[CASE ID]]&lt;&gt;""),(Overtime[[#This Row],[IS
OVERTIME]]="YES")),"{TO BE CALCULATED}","")</f>
        <v/>
      </c>
    </row>
    <row r="20" spans="1:24" s="5" customFormat="1" x14ac:dyDescent="0.3">
      <c r="A20" s="5">
        <v>16</v>
      </c>
      <c r="B20" s="1"/>
      <c r="C20" s="1"/>
      <c r="D20" s="2"/>
      <c r="E20" s="2"/>
      <c r="F20" s="3"/>
      <c r="G20" s="3"/>
      <c r="H20" s="3"/>
      <c r="I20" s="3"/>
      <c r="J20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20" s="25" t="str">
        <f>IF(ISERR(Cases[[#This Row],[TRAVEL-1]]+Cases[[#This Row],[TRAVEL-2]]),"-",Cases[[#This Row],[TRAVEL-1]]+Cases[[#This Row],[TRAVEL-2]])</f>
        <v>-</v>
      </c>
      <c r="L20" s="24" t="str">
        <f>IF(Cases[[#This Row],[CASE ID]]&lt;&gt;"",IF(OR(Cases[[#This Row],[TRAVEL START]]="",Cases[[#This Row],[TRAVEL END]]=""),"",Cases[[#This Row],[TRAVEL END]]-Cases[[#This Row],[TRAVEL START]]),"-")</f>
        <v>-</v>
      </c>
      <c r="M20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20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20" s="14"/>
      <c r="P20" s="4" t="str">
        <f>IF(Cases[[#This Row],[CASE ID]]&lt;&gt;"","NC","")</f>
        <v/>
      </c>
      <c r="Q20" s="4" t="str">
        <f>IF(Cases[[#This Row],[CASE ID]]&lt;&gt;"","NO","")</f>
        <v/>
      </c>
      <c r="R20" s="4" t="str">
        <f>IF(Cases[[#This Row],[CASE ID]]&lt;&gt;"","NO","")</f>
        <v/>
      </c>
      <c r="S20" s="4" t="str">
        <f>IF(Cases[[#This Row],[CASE ID]]&lt;&gt;"","NO","")</f>
        <v/>
      </c>
      <c r="T20" s="4"/>
      <c r="U20" s="4"/>
      <c r="V20" s="1"/>
      <c r="W20" s="28" t="str">
        <f>IF(OR((Overtime[[#This Row],[OVERTIME
HOURS]]&gt;0),(Overtime[[#This Row],[TRAVEL
HOURS]]&gt;0)),Overtime[[#This Row],[OVERTIME
HOURS]]+Overtime[[#This Row],[TRAVEL
HOURS]],"")</f>
        <v/>
      </c>
      <c r="X20" s="26" t="str">
        <f>IF(AND((Cases[[#This Row],[CASE ID]]&lt;&gt;""),(Overtime[[#This Row],[IS
OVERTIME]]="YES")),"{TO BE CALCULATED}","")</f>
        <v/>
      </c>
    </row>
    <row r="21" spans="1:24" s="5" customFormat="1" x14ac:dyDescent="0.3">
      <c r="A21" s="5">
        <v>17</v>
      </c>
      <c r="B21" s="1"/>
      <c r="C21" s="1"/>
      <c r="D21" s="2"/>
      <c r="E21" s="2"/>
      <c r="F21" s="3"/>
      <c r="G21" s="3"/>
      <c r="H21" s="3"/>
      <c r="I21" s="3"/>
      <c r="J21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21" s="25" t="str">
        <f>IF(ISERR(Cases[[#This Row],[TRAVEL-1]]+Cases[[#This Row],[TRAVEL-2]]),"-",Cases[[#This Row],[TRAVEL-1]]+Cases[[#This Row],[TRAVEL-2]])</f>
        <v>-</v>
      </c>
      <c r="L21" s="24" t="str">
        <f>IF(Cases[[#This Row],[CASE ID]]&lt;&gt;"",IF(OR(Cases[[#This Row],[TRAVEL START]]="",Cases[[#This Row],[TRAVEL END]]=""),"",Cases[[#This Row],[TRAVEL END]]-Cases[[#This Row],[TRAVEL START]]),"-")</f>
        <v>-</v>
      </c>
      <c r="M21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21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21" s="14"/>
      <c r="P21" s="4" t="str">
        <f>IF(Cases[[#This Row],[CASE ID]]&lt;&gt;"","NC","")</f>
        <v/>
      </c>
      <c r="Q21" s="4" t="str">
        <f>IF(Cases[[#This Row],[CASE ID]]&lt;&gt;"","NO","")</f>
        <v/>
      </c>
      <c r="R21" s="4" t="str">
        <f>IF(Cases[[#This Row],[CASE ID]]&lt;&gt;"","NO","")</f>
        <v/>
      </c>
      <c r="S21" s="4" t="str">
        <f>IF(Cases[[#This Row],[CASE ID]]&lt;&gt;"","NO","")</f>
        <v/>
      </c>
      <c r="T21" s="4"/>
      <c r="U21" s="4"/>
      <c r="V21" s="1"/>
      <c r="W21" s="28" t="str">
        <f>IF(OR((Overtime[[#This Row],[OVERTIME
HOURS]]&gt;0),(Overtime[[#This Row],[TRAVEL
HOURS]]&gt;0)),Overtime[[#This Row],[OVERTIME
HOURS]]+Overtime[[#This Row],[TRAVEL
HOURS]],"")</f>
        <v/>
      </c>
      <c r="X21" s="26" t="str">
        <f>IF(AND((Cases[[#This Row],[CASE ID]]&lt;&gt;""),(Overtime[[#This Row],[IS
OVERTIME]]="YES")),"{TO BE CALCULATED}","")</f>
        <v/>
      </c>
    </row>
    <row r="22" spans="1:24" s="5" customFormat="1" x14ac:dyDescent="0.3">
      <c r="A22" s="5">
        <v>18</v>
      </c>
      <c r="B22" s="1"/>
      <c r="C22" s="1"/>
      <c r="D22" s="2"/>
      <c r="E22" s="2"/>
      <c r="F22" s="3"/>
      <c r="G22" s="3"/>
      <c r="H22" s="3"/>
      <c r="I22" s="3"/>
      <c r="J22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22" s="25" t="str">
        <f>IF(ISERR(Cases[[#This Row],[TRAVEL-1]]+Cases[[#This Row],[TRAVEL-2]]),"-",Cases[[#This Row],[TRAVEL-1]]+Cases[[#This Row],[TRAVEL-2]])</f>
        <v>-</v>
      </c>
      <c r="L22" s="24" t="str">
        <f>IF(Cases[[#This Row],[CASE ID]]&lt;&gt;"",IF(OR(Cases[[#This Row],[TRAVEL START]]="",Cases[[#This Row],[TRAVEL END]]=""),"",Cases[[#This Row],[TRAVEL END]]-Cases[[#This Row],[TRAVEL START]]),"-")</f>
        <v>-</v>
      </c>
      <c r="M22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22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22" s="14"/>
      <c r="P22" s="4" t="str">
        <f>IF(Cases[[#This Row],[CASE ID]]&lt;&gt;"","NC","")</f>
        <v/>
      </c>
      <c r="Q22" s="4" t="str">
        <f>IF(Cases[[#This Row],[CASE ID]]&lt;&gt;"","NO","")</f>
        <v/>
      </c>
      <c r="R22" s="4" t="str">
        <f>IF(Cases[[#This Row],[CASE ID]]&lt;&gt;"","NO","")</f>
        <v/>
      </c>
      <c r="S22" s="4" t="str">
        <f>IF(Cases[[#This Row],[CASE ID]]&lt;&gt;"","NO","")</f>
        <v/>
      </c>
      <c r="T22" s="4"/>
      <c r="U22" s="4"/>
      <c r="V22" s="1"/>
      <c r="W22" s="28" t="str">
        <f>IF(OR((Overtime[[#This Row],[OVERTIME
HOURS]]&gt;0),(Overtime[[#This Row],[TRAVEL
HOURS]]&gt;0)),Overtime[[#This Row],[OVERTIME
HOURS]]+Overtime[[#This Row],[TRAVEL
HOURS]],"")</f>
        <v/>
      </c>
      <c r="X22" s="26" t="str">
        <f>IF(AND((Cases[[#This Row],[CASE ID]]&lt;&gt;""),(Overtime[[#This Row],[IS
OVERTIME]]="YES")),"{TO BE CALCULATED}","")</f>
        <v/>
      </c>
    </row>
    <row r="23" spans="1:24" s="5" customFormat="1" x14ac:dyDescent="0.3">
      <c r="A23" s="5">
        <v>19</v>
      </c>
      <c r="B23" s="1"/>
      <c r="C23" s="1"/>
      <c r="D23" s="2"/>
      <c r="E23" s="2"/>
      <c r="F23" s="3"/>
      <c r="G23" s="3"/>
      <c r="H23" s="3"/>
      <c r="I23" s="3"/>
      <c r="J23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23" s="25" t="str">
        <f>IF(ISERR(Cases[[#This Row],[TRAVEL-1]]+Cases[[#This Row],[TRAVEL-2]]),"-",Cases[[#This Row],[TRAVEL-1]]+Cases[[#This Row],[TRAVEL-2]])</f>
        <v>-</v>
      </c>
      <c r="L23" s="24" t="str">
        <f>IF(Cases[[#This Row],[CASE ID]]&lt;&gt;"",IF(OR(Cases[[#This Row],[TRAVEL START]]="",Cases[[#This Row],[TRAVEL END]]=""),"",Cases[[#This Row],[TRAVEL END]]-Cases[[#This Row],[TRAVEL START]]),"-")</f>
        <v>-</v>
      </c>
      <c r="M23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23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23" s="14"/>
      <c r="P23" s="4" t="str">
        <f>IF(Cases[[#This Row],[CASE ID]]&lt;&gt;"","NC","")</f>
        <v/>
      </c>
      <c r="Q23" s="4" t="str">
        <f>IF(Cases[[#This Row],[CASE ID]]&lt;&gt;"","NO","")</f>
        <v/>
      </c>
      <c r="R23" s="4" t="str">
        <f>IF(Cases[[#This Row],[CASE ID]]&lt;&gt;"","NO","")</f>
        <v/>
      </c>
      <c r="S23" s="4" t="str">
        <f>IF(Cases[[#This Row],[CASE ID]]&lt;&gt;"","NO","")</f>
        <v/>
      </c>
      <c r="T23" s="4"/>
      <c r="U23" s="4"/>
      <c r="V23" s="1"/>
      <c r="W23" s="28" t="str">
        <f>IF(OR((Overtime[[#This Row],[OVERTIME
HOURS]]&gt;0),(Overtime[[#This Row],[TRAVEL
HOURS]]&gt;0)),Overtime[[#This Row],[OVERTIME
HOURS]]+Overtime[[#This Row],[TRAVEL
HOURS]],"")</f>
        <v/>
      </c>
      <c r="X23" s="26" t="str">
        <f>IF(AND((Cases[[#This Row],[CASE ID]]&lt;&gt;""),(Overtime[[#This Row],[IS
OVERTIME]]="YES")),"{TO BE CALCULATED}","")</f>
        <v/>
      </c>
    </row>
    <row r="24" spans="1:24" s="5" customFormat="1" x14ac:dyDescent="0.3">
      <c r="A24" s="5">
        <v>20</v>
      </c>
      <c r="B24" s="1"/>
      <c r="C24" s="1"/>
      <c r="D24" s="2"/>
      <c r="E24" s="2"/>
      <c r="F24" s="3"/>
      <c r="G24" s="3"/>
      <c r="H24" s="3"/>
      <c r="I24" s="3"/>
      <c r="J24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24" s="25" t="str">
        <f>IF(ISERR(Cases[[#This Row],[TRAVEL-1]]+Cases[[#This Row],[TRAVEL-2]]),"-",Cases[[#This Row],[TRAVEL-1]]+Cases[[#This Row],[TRAVEL-2]])</f>
        <v>-</v>
      </c>
      <c r="L24" s="24" t="str">
        <f>IF(Cases[[#This Row],[CASE ID]]&lt;&gt;"",IF(OR(Cases[[#This Row],[TRAVEL START]]="",Cases[[#This Row],[TRAVEL END]]=""),"",Cases[[#This Row],[TRAVEL END]]-Cases[[#This Row],[TRAVEL START]]),"-")</f>
        <v>-</v>
      </c>
      <c r="M24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24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24" s="14"/>
      <c r="P24" s="4" t="str">
        <f>IF(Cases[[#This Row],[CASE ID]]&lt;&gt;"","NC","")</f>
        <v/>
      </c>
      <c r="Q24" s="4" t="str">
        <f>IF(Cases[[#This Row],[CASE ID]]&lt;&gt;"","NO","")</f>
        <v/>
      </c>
      <c r="R24" s="4" t="str">
        <f>IF(Cases[[#This Row],[CASE ID]]&lt;&gt;"","NO","")</f>
        <v/>
      </c>
      <c r="S24" s="4" t="str">
        <f>IF(Cases[[#This Row],[CASE ID]]&lt;&gt;"","NO","")</f>
        <v/>
      </c>
      <c r="T24" s="4"/>
      <c r="U24" s="4"/>
      <c r="V24" s="1"/>
      <c r="W24" s="28" t="str">
        <f>IF(OR((Overtime[[#This Row],[OVERTIME
HOURS]]&gt;0),(Overtime[[#This Row],[TRAVEL
HOURS]]&gt;0)),Overtime[[#This Row],[OVERTIME
HOURS]]+Overtime[[#This Row],[TRAVEL
HOURS]],"")</f>
        <v/>
      </c>
      <c r="X24" s="26" t="str">
        <f>IF(AND((Cases[[#This Row],[CASE ID]]&lt;&gt;""),(Overtime[[#This Row],[IS
OVERTIME]]="YES")),"{TO BE CALCULATED}","")</f>
        <v/>
      </c>
    </row>
    <row r="25" spans="1:24" s="5" customFormat="1" x14ac:dyDescent="0.3">
      <c r="A25" s="5">
        <v>21</v>
      </c>
      <c r="B25" s="1"/>
      <c r="C25" s="1"/>
      <c r="D25" s="2"/>
      <c r="E25" s="2"/>
      <c r="F25" s="3"/>
      <c r="G25" s="3"/>
      <c r="H25" s="3"/>
      <c r="I25" s="3"/>
      <c r="J25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25" s="25" t="str">
        <f>IF(ISERR(Cases[[#This Row],[TRAVEL-1]]+Cases[[#This Row],[TRAVEL-2]]),"-",Cases[[#This Row],[TRAVEL-1]]+Cases[[#This Row],[TRAVEL-2]])</f>
        <v>-</v>
      </c>
      <c r="L25" s="24" t="str">
        <f>IF(Cases[[#This Row],[CASE ID]]&lt;&gt;"",IF(OR(Cases[[#This Row],[TRAVEL START]]="",Cases[[#This Row],[TRAVEL END]]=""),"",Cases[[#This Row],[TRAVEL END]]-Cases[[#This Row],[TRAVEL START]]),"-")</f>
        <v>-</v>
      </c>
      <c r="M25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25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25" s="14"/>
      <c r="P25" s="4" t="str">
        <f>IF(Cases[[#This Row],[CASE ID]]&lt;&gt;"","NC","")</f>
        <v/>
      </c>
      <c r="Q25" s="4" t="str">
        <f>IF(Cases[[#This Row],[CASE ID]]&lt;&gt;"","NO","")</f>
        <v/>
      </c>
      <c r="R25" s="4" t="str">
        <f>IF(Cases[[#This Row],[CASE ID]]&lt;&gt;"","NO","")</f>
        <v/>
      </c>
      <c r="S25" s="4" t="str">
        <f>IF(Cases[[#This Row],[CASE ID]]&lt;&gt;"","NO","")</f>
        <v/>
      </c>
      <c r="T25" s="4"/>
      <c r="U25" s="4"/>
      <c r="V25" s="1"/>
      <c r="W25" s="28" t="str">
        <f>IF(OR((Overtime[[#This Row],[OVERTIME
HOURS]]&gt;0),(Overtime[[#This Row],[TRAVEL
HOURS]]&gt;0)),Overtime[[#This Row],[OVERTIME
HOURS]]+Overtime[[#This Row],[TRAVEL
HOURS]],"")</f>
        <v/>
      </c>
      <c r="X25" s="26" t="str">
        <f>IF(AND((Cases[[#This Row],[CASE ID]]&lt;&gt;""),(Overtime[[#This Row],[IS
OVERTIME]]="YES")),"{TO BE CALCULATED}","")</f>
        <v/>
      </c>
    </row>
    <row r="26" spans="1:24" s="5" customFormat="1" x14ac:dyDescent="0.3">
      <c r="A26" s="5">
        <v>22</v>
      </c>
      <c r="B26" s="1"/>
      <c r="C26" s="1"/>
      <c r="D26" s="2"/>
      <c r="E26" s="2"/>
      <c r="F26" s="3"/>
      <c r="G26" s="3"/>
      <c r="H26" s="3"/>
      <c r="I26" s="3"/>
      <c r="J26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26" s="25" t="str">
        <f>IF(ISERR(Cases[[#This Row],[TRAVEL-1]]+Cases[[#This Row],[TRAVEL-2]]),"-",Cases[[#This Row],[TRAVEL-1]]+Cases[[#This Row],[TRAVEL-2]])</f>
        <v>-</v>
      </c>
      <c r="L26" s="24" t="str">
        <f>IF(Cases[[#This Row],[CASE ID]]&lt;&gt;"",IF(OR(Cases[[#This Row],[TRAVEL START]]="",Cases[[#This Row],[TRAVEL END]]=""),"",Cases[[#This Row],[TRAVEL END]]-Cases[[#This Row],[TRAVEL START]]),"-")</f>
        <v>-</v>
      </c>
      <c r="M26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26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26" s="14"/>
      <c r="P26" s="4" t="str">
        <f>IF(Cases[[#This Row],[CASE ID]]&lt;&gt;"","NC","")</f>
        <v/>
      </c>
      <c r="Q26" s="4" t="str">
        <f>IF(Cases[[#This Row],[CASE ID]]&lt;&gt;"","NO","")</f>
        <v/>
      </c>
      <c r="R26" s="4" t="str">
        <f>IF(Cases[[#This Row],[CASE ID]]&lt;&gt;"","NO","")</f>
        <v/>
      </c>
      <c r="S26" s="4" t="str">
        <f>IF(Cases[[#This Row],[CASE ID]]&lt;&gt;"","NO","")</f>
        <v/>
      </c>
      <c r="T26" s="4"/>
      <c r="U26" s="4"/>
      <c r="V26" s="1"/>
      <c r="W26" s="28" t="str">
        <f>IF(OR((Overtime[[#This Row],[OVERTIME
HOURS]]&gt;0),(Overtime[[#This Row],[TRAVEL
HOURS]]&gt;0)),Overtime[[#This Row],[OVERTIME
HOURS]]+Overtime[[#This Row],[TRAVEL
HOURS]],"")</f>
        <v/>
      </c>
      <c r="X26" s="26" t="str">
        <f>IF(AND((Cases[[#This Row],[CASE ID]]&lt;&gt;""),(Overtime[[#This Row],[IS
OVERTIME]]="YES")),"{TO BE CALCULATED}","")</f>
        <v/>
      </c>
    </row>
    <row r="27" spans="1:24" s="5" customFormat="1" x14ac:dyDescent="0.3">
      <c r="A27" s="5">
        <v>23</v>
      </c>
      <c r="B27" s="1"/>
      <c r="C27" s="1"/>
      <c r="D27" s="2"/>
      <c r="E27" s="2"/>
      <c r="F27" s="3"/>
      <c r="G27" s="3"/>
      <c r="H27" s="3"/>
      <c r="I27" s="3"/>
      <c r="J27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27" s="25" t="str">
        <f>IF(ISERR(Cases[[#This Row],[TRAVEL-1]]+Cases[[#This Row],[TRAVEL-2]]),"-",Cases[[#This Row],[TRAVEL-1]]+Cases[[#This Row],[TRAVEL-2]])</f>
        <v>-</v>
      </c>
      <c r="L27" s="24" t="str">
        <f>IF(Cases[[#This Row],[CASE ID]]&lt;&gt;"",IF(OR(Cases[[#This Row],[TRAVEL START]]="",Cases[[#This Row],[TRAVEL END]]=""),"",Cases[[#This Row],[TRAVEL END]]-Cases[[#This Row],[TRAVEL START]]),"-")</f>
        <v>-</v>
      </c>
      <c r="M27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27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27" s="14"/>
      <c r="P27" s="4" t="str">
        <f>IF(Cases[[#This Row],[CASE ID]]&lt;&gt;"","NC","")</f>
        <v/>
      </c>
      <c r="Q27" s="4" t="str">
        <f>IF(Cases[[#This Row],[CASE ID]]&lt;&gt;"","NO","")</f>
        <v/>
      </c>
      <c r="R27" s="4" t="str">
        <f>IF(Cases[[#This Row],[CASE ID]]&lt;&gt;"","NO","")</f>
        <v/>
      </c>
      <c r="S27" s="4" t="str">
        <f>IF(Cases[[#This Row],[CASE ID]]&lt;&gt;"","NO","")</f>
        <v/>
      </c>
      <c r="T27" s="4"/>
      <c r="U27" s="4"/>
      <c r="V27" s="1"/>
      <c r="W27" s="28" t="str">
        <f>IF(OR((Overtime[[#This Row],[OVERTIME
HOURS]]&gt;0),(Overtime[[#This Row],[TRAVEL
HOURS]]&gt;0)),Overtime[[#This Row],[OVERTIME
HOURS]]+Overtime[[#This Row],[TRAVEL
HOURS]],"")</f>
        <v/>
      </c>
      <c r="X27" s="26" t="str">
        <f>IF(AND((Cases[[#This Row],[CASE ID]]&lt;&gt;""),(Overtime[[#This Row],[IS
OVERTIME]]="YES")),"{TO BE CALCULATED}","")</f>
        <v/>
      </c>
    </row>
    <row r="28" spans="1:24" s="5" customFormat="1" x14ac:dyDescent="0.3">
      <c r="A28" s="5">
        <v>24</v>
      </c>
      <c r="B28" s="1"/>
      <c r="C28" s="1"/>
      <c r="D28" s="2"/>
      <c r="E28" s="2"/>
      <c r="F28" s="3"/>
      <c r="G28" s="3"/>
      <c r="H28" s="3"/>
      <c r="I28" s="3"/>
      <c r="J28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28" s="25" t="str">
        <f>IF(ISERR(Cases[[#This Row],[TRAVEL-1]]+Cases[[#This Row],[TRAVEL-2]]),"-",Cases[[#This Row],[TRAVEL-1]]+Cases[[#This Row],[TRAVEL-2]])</f>
        <v>-</v>
      </c>
      <c r="L28" s="24" t="str">
        <f>IF(Cases[[#This Row],[CASE ID]]&lt;&gt;"",IF(OR(Cases[[#This Row],[TRAVEL START]]="",Cases[[#This Row],[TRAVEL END]]=""),"",Cases[[#This Row],[TRAVEL END]]-Cases[[#This Row],[TRAVEL START]]),"-")</f>
        <v>-</v>
      </c>
      <c r="M28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28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28" s="14"/>
      <c r="P28" s="4" t="str">
        <f>IF(Cases[[#This Row],[CASE ID]]&lt;&gt;"","NC","")</f>
        <v/>
      </c>
      <c r="Q28" s="4" t="str">
        <f>IF(Cases[[#This Row],[CASE ID]]&lt;&gt;"","NO","")</f>
        <v/>
      </c>
      <c r="R28" s="4" t="str">
        <f>IF(Cases[[#This Row],[CASE ID]]&lt;&gt;"","NO","")</f>
        <v/>
      </c>
      <c r="S28" s="4" t="str">
        <f>IF(Cases[[#This Row],[CASE ID]]&lt;&gt;"","NO","")</f>
        <v/>
      </c>
      <c r="T28" s="4"/>
      <c r="U28" s="4"/>
      <c r="V28" s="1"/>
      <c r="W28" s="28" t="str">
        <f>IF(OR((Overtime[[#This Row],[OVERTIME
HOURS]]&gt;0),(Overtime[[#This Row],[TRAVEL
HOURS]]&gt;0)),Overtime[[#This Row],[OVERTIME
HOURS]]+Overtime[[#This Row],[TRAVEL
HOURS]],"")</f>
        <v/>
      </c>
      <c r="X28" s="26" t="str">
        <f>IF(AND((Cases[[#This Row],[CASE ID]]&lt;&gt;""),(Overtime[[#This Row],[IS
OVERTIME]]="YES")),"{TO BE CALCULATED}","")</f>
        <v/>
      </c>
    </row>
    <row r="29" spans="1:24" s="5" customFormat="1" x14ac:dyDescent="0.3">
      <c r="A29" s="5">
        <v>25</v>
      </c>
      <c r="B29" s="1"/>
      <c r="C29" s="1"/>
      <c r="D29" s="2"/>
      <c r="E29" s="2"/>
      <c r="F29" s="3"/>
      <c r="G29" s="3"/>
      <c r="H29" s="3"/>
      <c r="I29" s="3"/>
      <c r="J29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29" s="25" t="str">
        <f>IF(ISERR(Cases[[#This Row],[TRAVEL-1]]+Cases[[#This Row],[TRAVEL-2]]),"-",Cases[[#This Row],[TRAVEL-1]]+Cases[[#This Row],[TRAVEL-2]])</f>
        <v>-</v>
      </c>
      <c r="L29" s="24" t="str">
        <f>IF(Cases[[#This Row],[CASE ID]]&lt;&gt;"",IF(OR(Cases[[#This Row],[TRAVEL START]]="",Cases[[#This Row],[TRAVEL END]]=""),"",Cases[[#This Row],[TRAVEL END]]-Cases[[#This Row],[TRAVEL START]]),"-")</f>
        <v>-</v>
      </c>
      <c r="M29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29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29" s="14"/>
      <c r="P29" s="4" t="str">
        <f>IF(Cases[[#This Row],[CASE ID]]&lt;&gt;"","NC","")</f>
        <v/>
      </c>
      <c r="Q29" s="4" t="str">
        <f>IF(Cases[[#This Row],[CASE ID]]&lt;&gt;"","NO","")</f>
        <v/>
      </c>
      <c r="R29" s="4" t="str">
        <f>IF(Cases[[#This Row],[CASE ID]]&lt;&gt;"","NO","")</f>
        <v/>
      </c>
      <c r="S29" s="4" t="str">
        <f>IF(Cases[[#This Row],[CASE ID]]&lt;&gt;"","NO","")</f>
        <v/>
      </c>
      <c r="T29" s="4"/>
      <c r="U29" s="4"/>
      <c r="V29" s="1"/>
      <c r="W29" s="28" t="str">
        <f>IF(OR((Overtime[[#This Row],[OVERTIME
HOURS]]&gt;0),(Overtime[[#This Row],[TRAVEL
HOURS]]&gt;0)),Overtime[[#This Row],[OVERTIME
HOURS]]+Overtime[[#This Row],[TRAVEL
HOURS]],"")</f>
        <v/>
      </c>
      <c r="X29" s="26" t="str">
        <f>IF(AND((Cases[[#This Row],[CASE ID]]&lt;&gt;""),(Overtime[[#This Row],[IS
OVERTIME]]="YES")),"{TO BE CALCULATED}","")</f>
        <v/>
      </c>
    </row>
    <row r="30" spans="1:24" s="5" customFormat="1" x14ac:dyDescent="0.3">
      <c r="A30" s="5">
        <v>26</v>
      </c>
      <c r="B30" s="1"/>
      <c r="C30" s="1"/>
      <c r="D30" s="2"/>
      <c r="E30" s="2"/>
      <c r="F30" s="3"/>
      <c r="G30" s="3"/>
      <c r="H30" s="3"/>
      <c r="I30" s="3"/>
      <c r="J30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30" s="25" t="str">
        <f>IF(ISERR(Cases[[#This Row],[TRAVEL-1]]+Cases[[#This Row],[TRAVEL-2]]),"-",Cases[[#This Row],[TRAVEL-1]]+Cases[[#This Row],[TRAVEL-2]])</f>
        <v>-</v>
      </c>
      <c r="L30" s="24" t="str">
        <f>IF(Cases[[#This Row],[CASE ID]]&lt;&gt;"",IF(OR(Cases[[#This Row],[TRAVEL START]]="",Cases[[#This Row],[TRAVEL END]]=""),"",Cases[[#This Row],[TRAVEL END]]-Cases[[#This Row],[TRAVEL START]]),"-")</f>
        <v>-</v>
      </c>
      <c r="M30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30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30" s="14"/>
      <c r="P30" s="4" t="str">
        <f>IF(Cases[[#This Row],[CASE ID]]&lt;&gt;"","NC","")</f>
        <v/>
      </c>
      <c r="Q30" s="4" t="str">
        <f>IF(Cases[[#This Row],[CASE ID]]&lt;&gt;"","NO","")</f>
        <v/>
      </c>
      <c r="R30" s="4" t="str">
        <f>IF(Cases[[#This Row],[CASE ID]]&lt;&gt;"","NO","")</f>
        <v/>
      </c>
      <c r="S30" s="4" t="str">
        <f>IF(Cases[[#This Row],[CASE ID]]&lt;&gt;"","NO","")</f>
        <v/>
      </c>
      <c r="T30" s="4"/>
      <c r="U30" s="4"/>
      <c r="V30" s="1"/>
      <c r="W30" s="28" t="str">
        <f>IF(OR((Overtime[[#This Row],[OVERTIME
HOURS]]&gt;0),(Overtime[[#This Row],[TRAVEL
HOURS]]&gt;0)),Overtime[[#This Row],[OVERTIME
HOURS]]+Overtime[[#This Row],[TRAVEL
HOURS]],"")</f>
        <v/>
      </c>
      <c r="X30" s="26" t="str">
        <f>IF(AND((Cases[[#This Row],[CASE ID]]&lt;&gt;""),(Overtime[[#This Row],[IS
OVERTIME]]="YES")),"{TO BE CALCULATED}","")</f>
        <v/>
      </c>
    </row>
    <row r="31" spans="1:24" s="5" customFormat="1" x14ac:dyDescent="0.3">
      <c r="A31" s="5">
        <v>27</v>
      </c>
      <c r="B31" s="1"/>
      <c r="C31" s="1"/>
      <c r="D31" s="2"/>
      <c r="E31" s="2"/>
      <c r="F31" s="3"/>
      <c r="G31" s="3"/>
      <c r="H31" s="3"/>
      <c r="I31" s="3"/>
      <c r="J31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31" s="25" t="str">
        <f>IF(ISERR(Cases[[#This Row],[TRAVEL-1]]+Cases[[#This Row],[TRAVEL-2]]),"-",Cases[[#This Row],[TRAVEL-1]]+Cases[[#This Row],[TRAVEL-2]])</f>
        <v>-</v>
      </c>
      <c r="L31" s="24" t="str">
        <f>IF(Cases[[#This Row],[CASE ID]]&lt;&gt;"",IF(OR(Cases[[#This Row],[TRAVEL START]]="",Cases[[#This Row],[TRAVEL END]]=""),"",Cases[[#This Row],[TRAVEL END]]-Cases[[#This Row],[TRAVEL START]]),"-")</f>
        <v>-</v>
      </c>
      <c r="M31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31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31" s="14"/>
      <c r="P31" s="4" t="str">
        <f>IF(Cases[[#This Row],[CASE ID]]&lt;&gt;"","NC","")</f>
        <v/>
      </c>
      <c r="Q31" s="4" t="str">
        <f>IF(Cases[[#This Row],[CASE ID]]&lt;&gt;"","NO","")</f>
        <v/>
      </c>
      <c r="R31" s="4" t="str">
        <f>IF(Cases[[#This Row],[CASE ID]]&lt;&gt;"","NO","")</f>
        <v/>
      </c>
      <c r="S31" s="4" t="str">
        <f>IF(Cases[[#This Row],[CASE ID]]&lt;&gt;"","NO","")</f>
        <v/>
      </c>
      <c r="T31" s="4"/>
      <c r="U31" s="4"/>
      <c r="V31" s="1"/>
      <c r="W31" s="28" t="str">
        <f>IF(OR((Overtime[[#This Row],[OVERTIME
HOURS]]&gt;0),(Overtime[[#This Row],[TRAVEL
HOURS]]&gt;0)),Overtime[[#This Row],[OVERTIME
HOURS]]+Overtime[[#This Row],[TRAVEL
HOURS]],"")</f>
        <v/>
      </c>
      <c r="X31" s="26" t="str">
        <f>IF(AND((Cases[[#This Row],[CASE ID]]&lt;&gt;""),(Overtime[[#This Row],[IS
OVERTIME]]="YES")),"{TO BE CALCULATED}","")</f>
        <v/>
      </c>
    </row>
    <row r="32" spans="1:24" s="5" customFormat="1" x14ac:dyDescent="0.3">
      <c r="A32" s="5">
        <v>28</v>
      </c>
      <c r="B32" s="1"/>
      <c r="C32" s="1"/>
      <c r="D32" s="2"/>
      <c r="E32" s="2"/>
      <c r="F32" s="3"/>
      <c r="G32" s="3"/>
      <c r="H32" s="3"/>
      <c r="I32" s="3"/>
      <c r="J32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32" s="25" t="str">
        <f>IF(ISERR(Cases[[#This Row],[TRAVEL-1]]+Cases[[#This Row],[TRAVEL-2]]),"-",Cases[[#This Row],[TRAVEL-1]]+Cases[[#This Row],[TRAVEL-2]])</f>
        <v>-</v>
      </c>
      <c r="L32" s="24" t="str">
        <f>IF(Cases[[#This Row],[CASE ID]]&lt;&gt;"",IF(OR(Cases[[#This Row],[TRAVEL START]]="",Cases[[#This Row],[TRAVEL END]]=""),"",Cases[[#This Row],[TRAVEL END]]-Cases[[#This Row],[TRAVEL START]]),"-")</f>
        <v>-</v>
      </c>
      <c r="M32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32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32" s="14"/>
      <c r="P32" s="4" t="str">
        <f>IF(Cases[[#This Row],[CASE ID]]&lt;&gt;"","NC","")</f>
        <v/>
      </c>
      <c r="Q32" s="4" t="str">
        <f>IF(Cases[[#This Row],[CASE ID]]&lt;&gt;"","NO","")</f>
        <v/>
      </c>
      <c r="R32" s="4" t="str">
        <f>IF(Cases[[#This Row],[CASE ID]]&lt;&gt;"","NO","")</f>
        <v/>
      </c>
      <c r="S32" s="4" t="str">
        <f>IF(Cases[[#This Row],[CASE ID]]&lt;&gt;"","NO","")</f>
        <v/>
      </c>
      <c r="T32" s="4"/>
      <c r="U32" s="4"/>
      <c r="V32" s="1"/>
      <c r="W32" s="28" t="str">
        <f>IF(OR((Overtime[[#This Row],[OVERTIME
HOURS]]&gt;0),(Overtime[[#This Row],[TRAVEL
HOURS]]&gt;0)),Overtime[[#This Row],[OVERTIME
HOURS]]+Overtime[[#This Row],[TRAVEL
HOURS]],"")</f>
        <v/>
      </c>
      <c r="X32" s="26" t="str">
        <f>IF(AND((Cases[[#This Row],[CASE ID]]&lt;&gt;""),(Overtime[[#This Row],[IS
OVERTIME]]="YES")),"{TO BE CALCULATED}","")</f>
        <v/>
      </c>
    </row>
    <row r="33" spans="1:24" s="5" customFormat="1" x14ac:dyDescent="0.3">
      <c r="A33" s="5">
        <v>29</v>
      </c>
      <c r="B33" s="1"/>
      <c r="C33" s="1"/>
      <c r="D33" s="2"/>
      <c r="E33" s="2"/>
      <c r="F33" s="3"/>
      <c r="G33" s="3"/>
      <c r="H33" s="3"/>
      <c r="I33" s="3"/>
      <c r="J33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33" s="25" t="str">
        <f>IF(ISERR(Cases[[#This Row],[TRAVEL-1]]+Cases[[#This Row],[TRAVEL-2]]),"-",Cases[[#This Row],[TRAVEL-1]]+Cases[[#This Row],[TRAVEL-2]])</f>
        <v>-</v>
      </c>
      <c r="L33" s="24" t="str">
        <f>IF(Cases[[#This Row],[CASE ID]]&lt;&gt;"",IF(OR(Cases[[#This Row],[TRAVEL START]]="",Cases[[#This Row],[TRAVEL END]]=""),"",Cases[[#This Row],[TRAVEL END]]-Cases[[#This Row],[TRAVEL START]]),"-")</f>
        <v>-</v>
      </c>
      <c r="M33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33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33" s="14"/>
      <c r="P33" s="4" t="str">
        <f>IF(Cases[[#This Row],[CASE ID]]&lt;&gt;"","NC","")</f>
        <v/>
      </c>
      <c r="Q33" s="4" t="str">
        <f>IF(Cases[[#This Row],[CASE ID]]&lt;&gt;"","NO","")</f>
        <v/>
      </c>
      <c r="R33" s="4" t="str">
        <f>IF(Cases[[#This Row],[CASE ID]]&lt;&gt;"","NO","")</f>
        <v/>
      </c>
      <c r="S33" s="4" t="str">
        <f>IF(Cases[[#This Row],[CASE ID]]&lt;&gt;"","NO","")</f>
        <v/>
      </c>
      <c r="T33" s="4"/>
      <c r="U33" s="4"/>
      <c r="V33" s="1"/>
      <c r="W33" s="28" t="str">
        <f>IF(OR((Overtime[[#This Row],[OVERTIME
HOURS]]&gt;0),(Overtime[[#This Row],[TRAVEL
HOURS]]&gt;0)),Overtime[[#This Row],[OVERTIME
HOURS]]+Overtime[[#This Row],[TRAVEL
HOURS]],"")</f>
        <v/>
      </c>
      <c r="X33" s="26" t="str">
        <f>IF(AND((Cases[[#This Row],[CASE ID]]&lt;&gt;""),(Overtime[[#This Row],[IS
OVERTIME]]="YES")),"{TO BE CALCULATED}","")</f>
        <v/>
      </c>
    </row>
    <row r="34" spans="1:24" s="5" customFormat="1" x14ac:dyDescent="0.3">
      <c r="A34" s="5">
        <v>30</v>
      </c>
      <c r="B34" s="1"/>
      <c r="C34" s="1"/>
      <c r="D34" s="2"/>
      <c r="E34" s="2"/>
      <c r="F34" s="3"/>
      <c r="G34" s="3"/>
      <c r="H34" s="3"/>
      <c r="I34" s="3"/>
      <c r="J34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34" s="25" t="str">
        <f>IF(ISERR(Cases[[#This Row],[TRAVEL-1]]+Cases[[#This Row],[TRAVEL-2]]),"-",Cases[[#This Row],[TRAVEL-1]]+Cases[[#This Row],[TRAVEL-2]])</f>
        <v>-</v>
      </c>
      <c r="L34" s="24" t="str">
        <f>IF(Cases[[#This Row],[CASE ID]]&lt;&gt;"",IF(OR(Cases[[#This Row],[TRAVEL START]]="",Cases[[#This Row],[TRAVEL END]]=""),"",Cases[[#This Row],[TRAVEL END]]-Cases[[#This Row],[TRAVEL START]]),"-")</f>
        <v>-</v>
      </c>
      <c r="M34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34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34" s="14"/>
      <c r="P34" s="4" t="str">
        <f>IF(Cases[[#This Row],[CASE ID]]&lt;&gt;"","NC","")</f>
        <v/>
      </c>
      <c r="Q34" s="4" t="str">
        <f>IF(Cases[[#This Row],[CASE ID]]&lt;&gt;"","NO","")</f>
        <v/>
      </c>
      <c r="R34" s="4" t="str">
        <f>IF(Cases[[#This Row],[CASE ID]]&lt;&gt;"","NO","")</f>
        <v/>
      </c>
      <c r="S34" s="4" t="str">
        <f>IF(Cases[[#This Row],[CASE ID]]&lt;&gt;"","NO","")</f>
        <v/>
      </c>
      <c r="T34" s="4"/>
      <c r="U34" s="4"/>
      <c r="V34" s="1"/>
      <c r="W34" s="28" t="str">
        <f>IF(OR((Overtime[[#This Row],[OVERTIME
HOURS]]&gt;0),(Overtime[[#This Row],[TRAVEL
HOURS]]&gt;0)),Overtime[[#This Row],[OVERTIME
HOURS]]+Overtime[[#This Row],[TRAVEL
HOURS]],"")</f>
        <v/>
      </c>
      <c r="X34" s="26" t="str">
        <f>IF(AND((Cases[[#This Row],[CASE ID]]&lt;&gt;""),(Overtime[[#This Row],[IS
OVERTIME]]="YES")),"{TO BE CALCULATED}","")</f>
        <v/>
      </c>
    </row>
    <row r="35" spans="1:24" s="5" customFormat="1" x14ac:dyDescent="0.3">
      <c r="A35" s="5">
        <v>31</v>
      </c>
      <c r="B35" s="1"/>
      <c r="C35" s="1"/>
      <c r="D35" s="2"/>
      <c r="E35" s="2"/>
      <c r="F35" s="3"/>
      <c r="G35" s="3"/>
      <c r="H35" s="3"/>
      <c r="I35" s="3"/>
      <c r="J35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35" s="25" t="str">
        <f>IF(ISERR(Cases[[#This Row],[TRAVEL-1]]+Cases[[#This Row],[TRAVEL-2]]),"-",Cases[[#This Row],[TRAVEL-1]]+Cases[[#This Row],[TRAVEL-2]])</f>
        <v>-</v>
      </c>
      <c r="L35" s="24" t="str">
        <f>IF(Cases[[#This Row],[CASE ID]]&lt;&gt;"",IF(OR(Cases[[#This Row],[TRAVEL START]]="",Cases[[#This Row],[TRAVEL END]]=""),"",Cases[[#This Row],[TRAVEL END]]-Cases[[#This Row],[TRAVEL START]]),"-")</f>
        <v>-</v>
      </c>
      <c r="M35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35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35" s="14"/>
      <c r="P35" s="4" t="str">
        <f>IF(Cases[[#This Row],[CASE ID]]&lt;&gt;"","NC","")</f>
        <v/>
      </c>
      <c r="Q35" s="4" t="str">
        <f>IF(Cases[[#This Row],[CASE ID]]&lt;&gt;"","NO","")</f>
        <v/>
      </c>
      <c r="R35" s="4" t="str">
        <f>IF(Cases[[#This Row],[CASE ID]]&lt;&gt;"","NO","")</f>
        <v/>
      </c>
      <c r="S35" s="4" t="str">
        <f>IF(Cases[[#This Row],[CASE ID]]&lt;&gt;"","NO","")</f>
        <v/>
      </c>
      <c r="T35" s="4"/>
      <c r="U35" s="4"/>
      <c r="V35" s="1"/>
      <c r="W35" s="28" t="str">
        <f>IF(OR((Overtime[[#This Row],[OVERTIME
HOURS]]&gt;0),(Overtime[[#This Row],[TRAVEL
HOURS]]&gt;0)),Overtime[[#This Row],[OVERTIME
HOURS]]+Overtime[[#This Row],[TRAVEL
HOURS]],"")</f>
        <v/>
      </c>
      <c r="X35" s="26" t="str">
        <f>IF(AND((Cases[[#This Row],[CASE ID]]&lt;&gt;""),(Overtime[[#This Row],[IS
OVERTIME]]="YES")),"{TO BE CALCULATED}","")</f>
        <v/>
      </c>
    </row>
    <row r="36" spans="1:24" s="5" customFormat="1" x14ac:dyDescent="0.3">
      <c r="A36" s="5">
        <v>32</v>
      </c>
      <c r="B36" s="1"/>
      <c r="C36" s="1"/>
      <c r="D36" s="2"/>
      <c r="E36" s="2"/>
      <c r="F36" s="3"/>
      <c r="G36" s="3"/>
      <c r="H36" s="3"/>
      <c r="I36" s="3"/>
      <c r="J36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36" s="25" t="str">
        <f>IF(ISERR(Cases[[#This Row],[TRAVEL-1]]+Cases[[#This Row],[TRAVEL-2]]),"-",Cases[[#This Row],[TRAVEL-1]]+Cases[[#This Row],[TRAVEL-2]])</f>
        <v>-</v>
      </c>
      <c r="L36" s="24" t="str">
        <f>IF(Cases[[#This Row],[CASE ID]]&lt;&gt;"",IF(OR(Cases[[#This Row],[TRAVEL START]]="",Cases[[#This Row],[TRAVEL END]]=""),"",Cases[[#This Row],[TRAVEL END]]-Cases[[#This Row],[TRAVEL START]]),"-")</f>
        <v>-</v>
      </c>
      <c r="M36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36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36" s="14"/>
      <c r="P36" s="4" t="str">
        <f>IF(Cases[[#This Row],[CASE ID]]&lt;&gt;"","NC","")</f>
        <v/>
      </c>
      <c r="Q36" s="4" t="str">
        <f>IF(Cases[[#This Row],[CASE ID]]&lt;&gt;"","NO","")</f>
        <v/>
      </c>
      <c r="R36" s="4" t="str">
        <f>IF(Cases[[#This Row],[CASE ID]]&lt;&gt;"","NO","")</f>
        <v/>
      </c>
      <c r="S36" s="4" t="str">
        <f>IF(Cases[[#This Row],[CASE ID]]&lt;&gt;"","NO","")</f>
        <v/>
      </c>
      <c r="T36" s="4"/>
      <c r="U36" s="4"/>
      <c r="V36" s="1"/>
      <c r="W36" s="28" t="str">
        <f>IF(OR((Overtime[[#This Row],[OVERTIME
HOURS]]&gt;0),(Overtime[[#This Row],[TRAVEL
HOURS]]&gt;0)),Overtime[[#This Row],[OVERTIME
HOURS]]+Overtime[[#This Row],[TRAVEL
HOURS]],"")</f>
        <v/>
      </c>
      <c r="X36" s="26" t="str">
        <f>IF(AND((Cases[[#This Row],[CASE ID]]&lt;&gt;""),(Overtime[[#This Row],[IS
OVERTIME]]="YES")),"{TO BE CALCULATED}","")</f>
        <v/>
      </c>
    </row>
    <row r="37" spans="1:24" s="5" customFormat="1" x14ac:dyDescent="0.3">
      <c r="A37" s="5">
        <v>33</v>
      </c>
      <c r="B37" s="1"/>
      <c r="C37" s="1"/>
      <c r="D37" s="2"/>
      <c r="E37" s="2"/>
      <c r="F37" s="3"/>
      <c r="G37" s="3"/>
      <c r="H37" s="3"/>
      <c r="I37" s="3"/>
      <c r="J37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37" s="25" t="str">
        <f>IF(ISERR(Cases[[#This Row],[TRAVEL-1]]+Cases[[#This Row],[TRAVEL-2]]),"-",Cases[[#This Row],[TRAVEL-1]]+Cases[[#This Row],[TRAVEL-2]])</f>
        <v>-</v>
      </c>
      <c r="L37" s="24" t="str">
        <f>IF(Cases[[#This Row],[CASE ID]]&lt;&gt;"",IF(OR(Cases[[#This Row],[TRAVEL START]]="",Cases[[#This Row],[TRAVEL END]]=""),"",Cases[[#This Row],[TRAVEL END]]-Cases[[#This Row],[TRAVEL START]]),"-")</f>
        <v>-</v>
      </c>
      <c r="M37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37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37" s="14"/>
      <c r="P37" s="4" t="str">
        <f>IF(Cases[[#This Row],[CASE ID]]&lt;&gt;"","NC","")</f>
        <v/>
      </c>
      <c r="Q37" s="4" t="str">
        <f>IF(Cases[[#This Row],[CASE ID]]&lt;&gt;"","NO","")</f>
        <v/>
      </c>
      <c r="R37" s="4" t="str">
        <f>IF(Cases[[#This Row],[CASE ID]]&lt;&gt;"","NO","")</f>
        <v/>
      </c>
      <c r="S37" s="4" t="str">
        <f>IF(Cases[[#This Row],[CASE ID]]&lt;&gt;"","NO","")</f>
        <v/>
      </c>
      <c r="T37" s="4"/>
      <c r="U37" s="4"/>
      <c r="V37" s="1"/>
      <c r="W37" s="28" t="str">
        <f>IF(OR((Overtime[[#This Row],[OVERTIME
HOURS]]&gt;0),(Overtime[[#This Row],[TRAVEL
HOURS]]&gt;0)),Overtime[[#This Row],[OVERTIME
HOURS]]+Overtime[[#This Row],[TRAVEL
HOURS]],"")</f>
        <v/>
      </c>
      <c r="X37" s="26" t="str">
        <f>IF(AND((Cases[[#This Row],[CASE ID]]&lt;&gt;""),(Overtime[[#This Row],[IS
OVERTIME]]="YES")),"{TO BE CALCULATED}","")</f>
        <v/>
      </c>
    </row>
    <row r="38" spans="1:24" s="5" customFormat="1" x14ac:dyDescent="0.3">
      <c r="A38" s="5">
        <v>34</v>
      </c>
      <c r="B38" s="1"/>
      <c r="C38" s="1"/>
      <c r="D38" s="2"/>
      <c r="E38" s="2"/>
      <c r="F38" s="3"/>
      <c r="G38" s="3"/>
      <c r="H38" s="3"/>
      <c r="I38" s="3"/>
      <c r="J38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38" s="25" t="str">
        <f>IF(ISERR(Cases[[#This Row],[TRAVEL-1]]+Cases[[#This Row],[TRAVEL-2]]),"-",Cases[[#This Row],[TRAVEL-1]]+Cases[[#This Row],[TRAVEL-2]])</f>
        <v>-</v>
      </c>
      <c r="L38" s="24" t="str">
        <f>IF(Cases[[#This Row],[CASE ID]]&lt;&gt;"",IF(OR(Cases[[#This Row],[TRAVEL START]]="",Cases[[#This Row],[TRAVEL END]]=""),"",Cases[[#This Row],[TRAVEL END]]-Cases[[#This Row],[TRAVEL START]]),"-")</f>
        <v>-</v>
      </c>
      <c r="M38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38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38" s="14"/>
      <c r="P38" s="4" t="str">
        <f>IF(Cases[[#This Row],[CASE ID]]&lt;&gt;"","NC","")</f>
        <v/>
      </c>
      <c r="Q38" s="4" t="str">
        <f>IF(Cases[[#This Row],[CASE ID]]&lt;&gt;"","NO","")</f>
        <v/>
      </c>
      <c r="R38" s="4" t="str">
        <f>IF(Cases[[#This Row],[CASE ID]]&lt;&gt;"","NO","")</f>
        <v/>
      </c>
      <c r="S38" s="4" t="str">
        <f>IF(Cases[[#This Row],[CASE ID]]&lt;&gt;"","NO","")</f>
        <v/>
      </c>
      <c r="T38" s="4"/>
      <c r="U38" s="4"/>
      <c r="V38" s="1"/>
      <c r="W38" s="28" t="str">
        <f>IF(OR((Overtime[[#This Row],[OVERTIME
HOURS]]&gt;0),(Overtime[[#This Row],[TRAVEL
HOURS]]&gt;0)),Overtime[[#This Row],[OVERTIME
HOURS]]+Overtime[[#This Row],[TRAVEL
HOURS]],"")</f>
        <v/>
      </c>
      <c r="X38" s="26" t="str">
        <f>IF(AND((Cases[[#This Row],[CASE ID]]&lt;&gt;""),(Overtime[[#This Row],[IS
OVERTIME]]="YES")),"{TO BE CALCULATED}","")</f>
        <v/>
      </c>
    </row>
    <row r="39" spans="1:24" s="5" customFormat="1" x14ac:dyDescent="0.3">
      <c r="A39" s="5">
        <v>35</v>
      </c>
      <c r="B39" s="1"/>
      <c r="C39" s="1"/>
      <c r="D39" s="2"/>
      <c r="E39" s="2"/>
      <c r="F39" s="3"/>
      <c r="G39" s="3"/>
      <c r="H39" s="3"/>
      <c r="I39" s="3"/>
      <c r="J39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39" s="25" t="str">
        <f>IF(ISERR(Cases[[#This Row],[TRAVEL-1]]+Cases[[#This Row],[TRAVEL-2]]),"-",Cases[[#This Row],[TRAVEL-1]]+Cases[[#This Row],[TRAVEL-2]])</f>
        <v>-</v>
      </c>
      <c r="L39" s="24" t="str">
        <f>IF(Cases[[#This Row],[CASE ID]]&lt;&gt;"",IF(OR(Cases[[#This Row],[TRAVEL START]]="",Cases[[#This Row],[TRAVEL END]]=""),"",Cases[[#This Row],[TRAVEL END]]-Cases[[#This Row],[TRAVEL START]]),"-")</f>
        <v>-</v>
      </c>
      <c r="M39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39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39" s="14"/>
      <c r="P39" s="4" t="str">
        <f>IF(Cases[[#This Row],[CASE ID]]&lt;&gt;"","NC","")</f>
        <v/>
      </c>
      <c r="Q39" s="4" t="str">
        <f>IF(Cases[[#This Row],[CASE ID]]&lt;&gt;"","NO","")</f>
        <v/>
      </c>
      <c r="R39" s="4" t="str">
        <f>IF(Cases[[#This Row],[CASE ID]]&lt;&gt;"","NO","")</f>
        <v/>
      </c>
      <c r="S39" s="4" t="str">
        <f>IF(Cases[[#This Row],[CASE ID]]&lt;&gt;"","NO","")</f>
        <v/>
      </c>
      <c r="T39" s="4"/>
      <c r="U39" s="4"/>
      <c r="V39" s="1"/>
      <c r="W39" s="28" t="str">
        <f>IF(OR((Overtime[[#This Row],[OVERTIME
HOURS]]&gt;0),(Overtime[[#This Row],[TRAVEL
HOURS]]&gt;0)),Overtime[[#This Row],[OVERTIME
HOURS]]+Overtime[[#This Row],[TRAVEL
HOURS]],"")</f>
        <v/>
      </c>
      <c r="X39" s="26" t="str">
        <f>IF(AND((Cases[[#This Row],[CASE ID]]&lt;&gt;""),(Overtime[[#This Row],[IS
OVERTIME]]="YES")),"{TO BE CALCULATED}","")</f>
        <v/>
      </c>
    </row>
    <row r="40" spans="1:24" s="5" customFormat="1" x14ac:dyDescent="0.3">
      <c r="A40" s="5">
        <v>36</v>
      </c>
      <c r="B40" s="1"/>
      <c r="C40" s="1"/>
      <c r="D40" s="2"/>
      <c r="E40" s="2"/>
      <c r="F40" s="3"/>
      <c r="G40" s="3"/>
      <c r="H40" s="3"/>
      <c r="I40" s="3"/>
      <c r="J40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40" s="25" t="str">
        <f>IF(ISERR(Cases[[#This Row],[TRAVEL-1]]+Cases[[#This Row],[TRAVEL-2]]),"-",Cases[[#This Row],[TRAVEL-1]]+Cases[[#This Row],[TRAVEL-2]])</f>
        <v>-</v>
      </c>
      <c r="L40" s="24" t="str">
        <f>IF(Cases[[#This Row],[CASE ID]]&lt;&gt;"",IF(OR(Cases[[#This Row],[TRAVEL START]]="",Cases[[#This Row],[TRAVEL END]]=""),"",Cases[[#This Row],[TRAVEL END]]-Cases[[#This Row],[TRAVEL START]]),"-")</f>
        <v>-</v>
      </c>
      <c r="M40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40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40" s="14"/>
      <c r="P40" s="4" t="str">
        <f>IF(Cases[[#This Row],[CASE ID]]&lt;&gt;"","NC","")</f>
        <v/>
      </c>
      <c r="Q40" s="4" t="str">
        <f>IF(Cases[[#This Row],[CASE ID]]&lt;&gt;"","NO","")</f>
        <v/>
      </c>
      <c r="R40" s="4" t="str">
        <f>IF(Cases[[#This Row],[CASE ID]]&lt;&gt;"","NO","")</f>
        <v/>
      </c>
      <c r="S40" s="4" t="str">
        <f>IF(Cases[[#This Row],[CASE ID]]&lt;&gt;"","NO","")</f>
        <v/>
      </c>
      <c r="T40" s="4"/>
      <c r="U40" s="4"/>
      <c r="V40" s="1"/>
      <c r="W40" s="28" t="str">
        <f>IF(OR((Overtime[[#This Row],[OVERTIME
HOURS]]&gt;0),(Overtime[[#This Row],[TRAVEL
HOURS]]&gt;0)),Overtime[[#This Row],[OVERTIME
HOURS]]+Overtime[[#This Row],[TRAVEL
HOURS]],"")</f>
        <v/>
      </c>
      <c r="X40" s="26" t="str">
        <f>IF(AND((Cases[[#This Row],[CASE ID]]&lt;&gt;""),(Overtime[[#This Row],[IS
OVERTIME]]="YES")),"{TO BE CALCULATED}","")</f>
        <v/>
      </c>
    </row>
    <row r="41" spans="1:24" s="5" customFormat="1" x14ac:dyDescent="0.3">
      <c r="A41" s="5">
        <v>37</v>
      </c>
      <c r="B41" s="1"/>
      <c r="C41" s="1"/>
      <c r="D41" s="2"/>
      <c r="E41" s="2"/>
      <c r="F41" s="3"/>
      <c r="G41" s="3"/>
      <c r="H41" s="3"/>
      <c r="I41" s="3"/>
      <c r="J41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41" s="25" t="str">
        <f>IF(ISERR(Cases[[#This Row],[TRAVEL-1]]+Cases[[#This Row],[TRAVEL-2]]),"-",Cases[[#This Row],[TRAVEL-1]]+Cases[[#This Row],[TRAVEL-2]])</f>
        <v>-</v>
      </c>
      <c r="L41" s="24" t="str">
        <f>IF(Cases[[#This Row],[CASE ID]]&lt;&gt;"",IF(OR(Cases[[#This Row],[TRAVEL START]]="",Cases[[#This Row],[TRAVEL END]]=""),"",Cases[[#This Row],[TRAVEL END]]-Cases[[#This Row],[TRAVEL START]]),"-")</f>
        <v>-</v>
      </c>
      <c r="M41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41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41" s="14"/>
      <c r="P41" s="4" t="str">
        <f>IF(Cases[[#This Row],[CASE ID]]&lt;&gt;"","NC","")</f>
        <v/>
      </c>
      <c r="Q41" s="4" t="str">
        <f>IF(Cases[[#This Row],[CASE ID]]&lt;&gt;"","NO","")</f>
        <v/>
      </c>
      <c r="R41" s="4" t="str">
        <f>IF(Cases[[#This Row],[CASE ID]]&lt;&gt;"","NO","")</f>
        <v/>
      </c>
      <c r="S41" s="4" t="str">
        <f>IF(Cases[[#This Row],[CASE ID]]&lt;&gt;"","NO","")</f>
        <v/>
      </c>
      <c r="T41" s="4"/>
      <c r="U41" s="4"/>
      <c r="V41" s="1"/>
      <c r="W41" s="28" t="str">
        <f>IF(OR((Overtime[[#This Row],[OVERTIME
HOURS]]&gt;0),(Overtime[[#This Row],[TRAVEL
HOURS]]&gt;0)),Overtime[[#This Row],[OVERTIME
HOURS]]+Overtime[[#This Row],[TRAVEL
HOURS]],"")</f>
        <v/>
      </c>
      <c r="X41" s="26" t="str">
        <f>IF(AND((Cases[[#This Row],[CASE ID]]&lt;&gt;""),(Overtime[[#This Row],[IS
OVERTIME]]="YES")),"{TO BE CALCULATED}","")</f>
        <v/>
      </c>
    </row>
    <row r="42" spans="1:24" s="5" customFormat="1" x14ac:dyDescent="0.3">
      <c r="A42" s="5">
        <v>38</v>
      </c>
      <c r="B42" s="1"/>
      <c r="C42" s="1"/>
      <c r="D42" s="2"/>
      <c r="E42" s="2"/>
      <c r="F42" s="3"/>
      <c r="G42" s="3"/>
      <c r="H42" s="3"/>
      <c r="I42" s="3"/>
      <c r="J42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42" s="25" t="str">
        <f>IF(ISERR(Cases[[#This Row],[TRAVEL-1]]+Cases[[#This Row],[TRAVEL-2]]),"-",Cases[[#This Row],[TRAVEL-1]]+Cases[[#This Row],[TRAVEL-2]])</f>
        <v>-</v>
      </c>
      <c r="L42" s="24" t="str">
        <f>IF(Cases[[#This Row],[CASE ID]]&lt;&gt;"",IF(OR(Cases[[#This Row],[TRAVEL START]]="",Cases[[#This Row],[TRAVEL END]]=""),"",Cases[[#This Row],[TRAVEL END]]-Cases[[#This Row],[TRAVEL START]]),"-")</f>
        <v>-</v>
      </c>
      <c r="M42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42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42" s="14"/>
      <c r="P42" s="4" t="str">
        <f>IF(Cases[[#This Row],[CASE ID]]&lt;&gt;"","NC","")</f>
        <v/>
      </c>
      <c r="Q42" s="4" t="str">
        <f>IF(Cases[[#This Row],[CASE ID]]&lt;&gt;"","NO","")</f>
        <v/>
      </c>
      <c r="R42" s="4" t="str">
        <f>IF(Cases[[#This Row],[CASE ID]]&lt;&gt;"","NO","")</f>
        <v/>
      </c>
      <c r="S42" s="4" t="str">
        <f>IF(Cases[[#This Row],[CASE ID]]&lt;&gt;"","NO","")</f>
        <v/>
      </c>
      <c r="T42" s="4"/>
      <c r="U42" s="4"/>
      <c r="V42" s="1"/>
      <c r="W42" s="28" t="str">
        <f>IF(OR((Overtime[[#This Row],[OVERTIME
HOURS]]&gt;0),(Overtime[[#This Row],[TRAVEL
HOURS]]&gt;0)),Overtime[[#This Row],[OVERTIME
HOURS]]+Overtime[[#This Row],[TRAVEL
HOURS]],"")</f>
        <v/>
      </c>
      <c r="X42" s="26" t="str">
        <f>IF(AND((Cases[[#This Row],[CASE ID]]&lt;&gt;""),(Overtime[[#This Row],[IS
OVERTIME]]="YES")),"{TO BE CALCULATED}","")</f>
        <v/>
      </c>
    </row>
    <row r="43" spans="1:24" s="5" customFormat="1" x14ac:dyDescent="0.3">
      <c r="A43" s="5">
        <v>39</v>
      </c>
      <c r="B43" s="1"/>
      <c r="C43" s="1"/>
      <c r="D43" s="2"/>
      <c r="E43" s="2"/>
      <c r="F43" s="3"/>
      <c r="G43" s="3"/>
      <c r="H43" s="3"/>
      <c r="I43" s="3"/>
      <c r="J43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43" s="25" t="str">
        <f>IF(ISERR(Cases[[#This Row],[TRAVEL-1]]+Cases[[#This Row],[TRAVEL-2]]),"-",Cases[[#This Row],[TRAVEL-1]]+Cases[[#This Row],[TRAVEL-2]])</f>
        <v>-</v>
      </c>
      <c r="L43" s="24" t="str">
        <f>IF(Cases[[#This Row],[CASE ID]]&lt;&gt;"",IF(OR(Cases[[#This Row],[TRAVEL START]]="",Cases[[#This Row],[TRAVEL END]]=""),"",Cases[[#This Row],[TRAVEL END]]-Cases[[#This Row],[TRAVEL START]]),"-")</f>
        <v>-</v>
      </c>
      <c r="M43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43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43" s="14"/>
      <c r="P43" s="4" t="str">
        <f>IF(Cases[[#This Row],[CASE ID]]&lt;&gt;"","NC","")</f>
        <v/>
      </c>
      <c r="Q43" s="4" t="str">
        <f>IF(Cases[[#This Row],[CASE ID]]&lt;&gt;"","NO","")</f>
        <v/>
      </c>
      <c r="R43" s="4" t="str">
        <f>IF(Cases[[#This Row],[CASE ID]]&lt;&gt;"","NO","")</f>
        <v/>
      </c>
      <c r="S43" s="4" t="str">
        <f>IF(Cases[[#This Row],[CASE ID]]&lt;&gt;"","NO","")</f>
        <v/>
      </c>
      <c r="T43" s="4"/>
      <c r="U43" s="4"/>
      <c r="V43" s="1"/>
      <c r="W43" s="28" t="str">
        <f>IF(OR((Overtime[[#This Row],[OVERTIME
HOURS]]&gt;0),(Overtime[[#This Row],[TRAVEL
HOURS]]&gt;0)),Overtime[[#This Row],[OVERTIME
HOURS]]+Overtime[[#This Row],[TRAVEL
HOURS]],"")</f>
        <v/>
      </c>
      <c r="X43" s="26" t="str">
        <f>IF(AND((Cases[[#This Row],[CASE ID]]&lt;&gt;""),(Overtime[[#This Row],[IS
OVERTIME]]="YES")),"{TO BE CALCULATED}","")</f>
        <v/>
      </c>
    </row>
    <row r="44" spans="1:24" s="5" customFormat="1" x14ac:dyDescent="0.3">
      <c r="A44" s="5">
        <v>40</v>
      </c>
      <c r="B44" s="1"/>
      <c r="C44" s="1"/>
      <c r="D44" s="2"/>
      <c r="E44" s="2"/>
      <c r="F44" s="3"/>
      <c r="G44" s="3"/>
      <c r="H44" s="3"/>
      <c r="I44" s="3"/>
      <c r="J44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44" s="25" t="str">
        <f>IF(ISERR(Cases[[#This Row],[TRAVEL-1]]+Cases[[#This Row],[TRAVEL-2]]),"-",Cases[[#This Row],[TRAVEL-1]]+Cases[[#This Row],[TRAVEL-2]])</f>
        <v>-</v>
      </c>
      <c r="L44" s="24" t="str">
        <f>IF(Cases[[#This Row],[CASE ID]]&lt;&gt;"",IF(OR(Cases[[#This Row],[TRAVEL START]]="",Cases[[#This Row],[TRAVEL END]]=""),"",Cases[[#This Row],[TRAVEL END]]-Cases[[#This Row],[TRAVEL START]]),"-")</f>
        <v>-</v>
      </c>
      <c r="M44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44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44" s="14"/>
      <c r="P44" s="4" t="str">
        <f>IF(Cases[[#This Row],[CASE ID]]&lt;&gt;"","NC","")</f>
        <v/>
      </c>
      <c r="Q44" s="4" t="str">
        <f>IF(Cases[[#This Row],[CASE ID]]&lt;&gt;"","NO","")</f>
        <v/>
      </c>
      <c r="R44" s="4" t="str">
        <f>IF(Cases[[#This Row],[CASE ID]]&lt;&gt;"","NO","")</f>
        <v/>
      </c>
      <c r="S44" s="4" t="str">
        <f>IF(Cases[[#This Row],[CASE ID]]&lt;&gt;"","NO","")</f>
        <v/>
      </c>
      <c r="T44" s="4"/>
      <c r="U44" s="4"/>
      <c r="V44" s="1"/>
      <c r="W44" s="28" t="str">
        <f>IF(OR((Overtime[[#This Row],[OVERTIME
HOURS]]&gt;0),(Overtime[[#This Row],[TRAVEL
HOURS]]&gt;0)),Overtime[[#This Row],[OVERTIME
HOURS]]+Overtime[[#This Row],[TRAVEL
HOURS]],"")</f>
        <v/>
      </c>
      <c r="X44" s="26" t="str">
        <f>IF(AND((Cases[[#This Row],[CASE ID]]&lt;&gt;""),(Overtime[[#This Row],[IS
OVERTIME]]="YES")),"{TO BE CALCULATED}","")</f>
        <v/>
      </c>
    </row>
    <row r="45" spans="1:24" s="5" customFormat="1" x14ac:dyDescent="0.3">
      <c r="A45" s="5">
        <v>41</v>
      </c>
      <c r="B45" s="1"/>
      <c r="C45" s="1"/>
      <c r="D45" s="2"/>
      <c r="E45" s="2"/>
      <c r="F45" s="3"/>
      <c r="G45" s="3"/>
      <c r="H45" s="3"/>
      <c r="I45" s="3"/>
      <c r="J45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45" s="25" t="str">
        <f>IF(ISERR(Cases[[#This Row],[TRAVEL-1]]+Cases[[#This Row],[TRAVEL-2]]),"-",Cases[[#This Row],[TRAVEL-1]]+Cases[[#This Row],[TRAVEL-2]])</f>
        <v>-</v>
      </c>
      <c r="L45" s="24" t="str">
        <f>IF(Cases[[#This Row],[CASE ID]]&lt;&gt;"",IF(OR(Cases[[#This Row],[TRAVEL START]]="",Cases[[#This Row],[TRAVEL END]]=""),"",Cases[[#This Row],[TRAVEL END]]-Cases[[#This Row],[TRAVEL START]]),"-")</f>
        <v>-</v>
      </c>
      <c r="M45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45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45" s="14"/>
      <c r="P45" s="4" t="str">
        <f>IF(Cases[[#This Row],[CASE ID]]&lt;&gt;"","NC","")</f>
        <v/>
      </c>
      <c r="Q45" s="4" t="str">
        <f>IF(Cases[[#This Row],[CASE ID]]&lt;&gt;"","NO","")</f>
        <v/>
      </c>
      <c r="R45" s="4" t="str">
        <f>IF(Cases[[#This Row],[CASE ID]]&lt;&gt;"","NO","")</f>
        <v/>
      </c>
      <c r="S45" s="4" t="str">
        <f>IF(Cases[[#This Row],[CASE ID]]&lt;&gt;"","NO","")</f>
        <v/>
      </c>
      <c r="T45" s="4"/>
      <c r="U45" s="4"/>
      <c r="V45" s="1"/>
      <c r="W45" s="28" t="str">
        <f>IF(OR((Overtime[[#This Row],[OVERTIME
HOURS]]&gt;0),(Overtime[[#This Row],[TRAVEL
HOURS]]&gt;0)),Overtime[[#This Row],[OVERTIME
HOURS]]+Overtime[[#This Row],[TRAVEL
HOURS]],"")</f>
        <v/>
      </c>
      <c r="X45" s="26" t="str">
        <f>IF(AND((Cases[[#This Row],[CASE ID]]&lt;&gt;""),(Overtime[[#This Row],[IS
OVERTIME]]="YES")),"{TO BE CALCULATED}","")</f>
        <v/>
      </c>
    </row>
    <row r="46" spans="1:24" s="5" customFormat="1" x14ac:dyDescent="0.3">
      <c r="A46" s="5">
        <v>42</v>
      </c>
      <c r="B46" s="1"/>
      <c r="C46" s="1"/>
      <c r="D46" s="2"/>
      <c r="E46" s="2"/>
      <c r="F46" s="3"/>
      <c r="G46" s="3"/>
      <c r="H46" s="3"/>
      <c r="I46" s="3"/>
      <c r="J46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46" s="25" t="str">
        <f>IF(ISERR(Cases[[#This Row],[TRAVEL-1]]+Cases[[#This Row],[TRAVEL-2]]),"-",Cases[[#This Row],[TRAVEL-1]]+Cases[[#This Row],[TRAVEL-2]])</f>
        <v>-</v>
      </c>
      <c r="L46" s="24" t="str">
        <f>IF(Cases[[#This Row],[CASE ID]]&lt;&gt;"",IF(OR(Cases[[#This Row],[TRAVEL START]]="",Cases[[#This Row],[TRAVEL END]]=""),"",Cases[[#This Row],[TRAVEL END]]-Cases[[#This Row],[TRAVEL START]]),"-")</f>
        <v>-</v>
      </c>
      <c r="M46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46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46" s="14"/>
      <c r="P46" s="4" t="str">
        <f>IF(Cases[[#This Row],[CASE ID]]&lt;&gt;"","NC","")</f>
        <v/>
      </c>
      <c r="Q46" s="4" t="str">
        <f>IF(Cases[[#This Row],[CASE ID]]&lt;&gt;"","NO","")</f>
        <v/>
      </c>
      <c r="R46" s="4" t="str">
        <f>IF(Cases[[#This Row],[CASE ID]]&lt;&gt;"","NO","")</f>
        <v/>
      </c>
      <c r="S46" s="4" t="str">
        <f>IF(Cases[[#This Row],[CASE ID]]&lt;&gt;"","NO","")</f>
        <v/>
      </c>
      <c r="T46" s="4"/>
      <c r="U46" s="4"/>
      <c r="V46" s="1"/>
      <c r="W46" s="28" t="str">
        <f>IF(OR((Overtime[[#This Row],[OVERTIME
HOURS]]&gt;0),(Overtime[[#This Row],[TRAVEL
HOURS]]&gt;0)),Overtime[[#This Row],[OVERTIME
HOURS]]+Overtime[[#This Row],[TRAVEL
HOURS]],"")</f>
        <v/>
      </c>
      <c r="X46" s="26" t="str">
        <f>IF(AND((Cases[[#This Row],[CASE ID]]&lt;&gt;""),(Overtime[[#This Row],[IS
OVERTIME]]="YES")),"{TO BE CALCULATED}","")</f>
        <v/>
      </c>
    </row>
    <row r="47" spans="1:24" s="5" customFormat="1" x14ac:dyDescent="0.3">
      <c r="A47" s="5">
        <v>43</v>
      </c>
      <c r="B47" s="1"/>
      <c r="C47" s="1"/>
      <c r="D47" s="2"/>
      <c r="E47" s="2"/>
      <c r="F47" s="3"/>
      <c r="G47" s="3"/>
      <c r="H47" s="3"/>
      <c r="I47" s="3"/>
      <c r="J47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47" s="25" t="str">
        <f>IF(ISERR(Cases[[#This Row],[TRAVEL-1]]+Cases[[#This Row],[TRAVEL-2]]),"-",Cases[[#This Row],[TRAVEL-1]]+Cases[[#This Row],[TRAVEL-2]])</f>
        <v>-</v>
      </c>
      <c r="L47" s="24" t="str">
        <f>IF(Cases[[#This Row],[CASE ID]]&lt;&gt;"",IF(OR(Cases[[#This Row],[TRAVEL START]]="",Cases[[#This Row],[TRAVEL END]]=""),"",Cases[[#This Row],[TRAVEL END]]-Cases[[#This Row],[TRAVEL START]]),"-")</f>
        <v>-</v>
      </c>
      <c r="M47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47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47" s="14"/>
      <c r="P47" s="4" t="str">
        <f>IF(Cases[[#This Row],[CASE ID]]&lt;&gt;"","NC","")</f>
        <v/>
      </c>
      <c r="Q47" s="4" t="str">
        <f>IF(Cases[[#This Row],[CASE ID]]&lt;&gt;"","NO","")</f>
        <v/>
      </c>
      <c r="R47" s="4" t="str">
        <f>IF(Cases[[#This Row],[CASE ID]]&lt;&gt;"","NO","")</f>
        <v/>
      </c>
      <c r="S47" s="4" t="str">
        <f>IF(Cases[[#This Row],[CASE ID]]&lt;&gt;"","NO","")</f>
        <v/>
      </c>
      <c r="T47" s="4"/>
      <c r="U47" s="4"/>
      <c r="V47" s="1"/>
      <c r="W47" s="28" t="str">
        <f>IF(OR((Overtime[[#This Row],[OVERTIME
HOURS]]&gt;0),(Overtime[[#This Row],[TRAVEL
HOURS]]&gt;0)),Overtime[[#This Row],[OVERTIME
HOURS]]+Overtime[[#This Row],[TRAVEL
HOURS]],"")</f>
        <v/>
      </c>
      <c r="X47" s="26" t="str">
        <f>IF(AND((Cases[[#This Row],[CASE ID]]&lt;&gt;""),(Overtime[[#This Row],[IS
OVERTIME]]="YES")),"{TO BE CALCULATED}","")</f>
        <v/>
      </c>
    </row>
    <row r="48" spans="1:24" s="5" customFormat="1" x14ac:dyDescent="0.3">
      <c r="A48" s="5">
        <v>44</v>
      </c>
      <c r="B48" s="1"/>
      <c r="C48" s="1"/>
      <c r="D48" s="2"/>
      <c r="E48" s="2"/>
      <c r="F48" s="3"/>
      <c r="G48" s="3"/>
      <c r="H48" s="3"/>
      <c r="I48" s="3"/>
      <c r="J48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48" s="25" t="str">
        <f>IF(ISERR(Cases[[#This Row],[TRAVEL-1]]+Cases[[#This Row],[TRAVEL-2]]),"-",Cases[[#This Row],[TRAVEL-1]]+Cases[[#This Row],[TRAVEL-2]])</f>
        <v>-</v>
      </c>
      <c r="L48" s="24" t="str">
        <f>IF(Cases[[#This Row],[CASE ID]]&lt;&gt;"",IF(OR(Cases[[#This Row],[TRAVEL START]]="",Cases[[#This Row],[TRAVEL END]]=""),"",Cases[[#This Row],[TRAVEL END]]-Cases[[#This Row],[TRAVEL START]]),"-")</f>
        <v>-</v>
      </c>
      <c r="M48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48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48" s="14"/>
      <c r="P48" s="4" t="str">
        <f>IF(Cases[[#This Row],[CASE ID]]&lt;&gt;"","NC","")</f>
        <v/>
      </c>
      <c r="Q48" s="4" t="str">
        <f>IF(Cases[[#This Row],[CASE ID]]&lt;&gt;"","NO","")</f>
        <v/>
      </c>
      <c r="R48" s="4" t="str">
        <f>IF(Cases[[#This Row],[CASE ID]]&lt;&gt;"","NO","")</f>
        <v/>
      </c>
      <c r="S48" s="4" t="str">
        <f>IF(Cases[[#This Row],[CASE ID]]&lt;&gt;"","NO","")</f>
        <v/>
      </c>
      <c r="T48" s="4"/>
      <c r="U48" s="4"/>
      <c r="V48" s="1"/>
      <c r="W48" s="28" t="str">
        <f>IF(OR((Overtime[[#This Row],[OVERTIME
HOURS]]&gt;0),(Overtime[[#This Row],[TRAVEL
HOURS]]&gt;0)),Overtime[[#This Row],[OVERTIME
HOURS]]+Overtime[[#This Row],[TRAVEL
HOURS]],"")</f>
        <v/>
      </c>
      <c r="X48" s="26" t="str">
        <f>IF(AND((Cases[[#This Row],[CASE ID]]&lt;&gt;""),(Overtime[[#This Row],[IS
OVERTIME]]="YES")),"{TO BE CALCULATED}","")</f>
        <v/>
      </c>
    </row>
    <row r="49" spans="1:24" s="5" customFormat="1" x14ac:dyDescent="0.3">
      <c r="A49" s="5">
        <v>45</v>
      </c>
      <c r="B49" s="1"/>
      <c r="C49" s="1"/>
      <c r="D49" s="2"/>
      <c r="E49" s="2"/>
      <c r="F49" s="3"/>
      <c r="G49" s="3"/>
      <c r="H49" s="3"/>
      <c r="I49" s="3"/>
      <c r="J49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49" s="25" t="str">
        <f>IF(ISERR(Cases[[#This Row],[TRAVEL-1]]+Cases[[#This Row],[TRAVEL-2]]),"-",Cases[[#This Row],[TRAVEL-1]]+Cases[[#This Row],[TRAVEL-2]])</f>
        <v>-</v>
      </c>
      <c r="L49" s="24" t="str">
        <f>IF(Cases[[#This Row],[CASE ID]]&lt;&gt;"",IF(OR(Cases[[#This Row],[TRAVEL START]]="",Cases[[#This Row],[TRAVEL END]]=""),"",Cases[[#This Row],[TRAVEL END]]-Cases[[#This Row],[TRAVEL START]]),"-")</f>
        <v>-</v>
      </c>
      <c r="M49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49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49" s="14"/>
      <c r="P49" s="4" t="str">
        <f>IF(Cases[[#This Row],[CASE ID]]&lt;&gt;"","NC","")</f>
        <v/>
      </c>
      <c r="Q49" s="4" t="str">
        <f>IF(Cases[[#This Row],[CASE ID]]&lt;&gt;"","NO","")</f>
        <v/>
      </c>
      <c r="R49" s="4" t="str">
        <f>IF(Cases[[#This Row],[CASE ID]]&lt;&gt;"","NO","")</f>
        <v/>
      </c>
      <c r="S49" s="4" t="str">
        <f>IF(Cases[[#This Row],[CASE ID]]&lt;&gt;"","NO","")</f>
        <v/>
      </c>
      <c r="T49" s="4"/>
      <c r="U49" s="4"/>
      <c r="V49" s="1"/>
      <c r="W49" s="28" t="str">
        <f>IF(OR((Overtime[[#This Row],[OVERTIME
HOURS]]&gt;0),(Overtime[[#This Row],[TRAVEL
HOURS]]&gt;0)),Overtime[[#This Row],[OVERTIME
HOURS]]+Overtime[[#This Row],[TRAVEL
HOURS]],"")</f>
        <v/>
      </c>
      <c r="X49" s="26" t="str">
        <f>IF(AND((Cases[[#This Row],[CASE ID]]&lt;&gt;""),(Overtime[[#This Row],[IS
OVERTIME]]="YES")),"{TO BE CALCULATED}","")</f>
        <v/>
      </c>
    </row>
    <row r="50" spans="1:24" s="5" customFormat="1" x14ac:dyDescent="0.3">
      <c r="A50" s="5">
        <v>46</v>
      </c>
      <c r="B50" s="1"/>
      <c r="C50" s="1"/>
      <c r="D50" s="2"/>
      <c r="E50" s="2"/>
      <c r="F50" s="3"/>
      <c r="G50" s="3"/>
      <c r="H50" s="3"/>
      <c r="I50" s="3"/>
      <c r="J50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50" s="25" t="str">
        <f>IF(ISERR(Cases[[#This Row],[TRAVEL-1]]+Cases[[#This Row],[TRAVEL-2]]),"-",Cases[[#This Row],[TRAVEL-1]]+Cases[[#This Row],[TRAVEL-2]])</f>
        <v>-</v>
      </c>
      <c r="L50" s="24" t="str">
        <f>IF(Cases[[#This Row],[CASE ID]]&lt;&gt;"",IF(OR(Cases[[#This Row],[TRAVEL START]]="",Cases[[#This Row],[TRAVEL END]]=""),"",Cases[[#This Row],[TRAVEL END]]-Cases[[#This Row],[TRAVEL START]]),"-")</f>
        <v>-</v>
      </c>
      <c r="M50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50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50" s="14"/>
      <c r="P50" s="4" t="str">
        <f>IF(Cases[[#This Row],[CASE ID]]&lt;&gt;"","NC","")</f>
        <v/>
      </c>
      <c r="Q50" s="4" t="str">
        <f>IF(Cases[[#This Row],[CASE ID]]&lt;&gt;"","NO","")</f>
        <v/>
      </c>
      <c r="R50" s="4" t="str">
        <f>IF(Cases[[#This Row],[CASE ID]]&lt;&gt;"","NO","")</f>
        <v/>
      </c>
      <c r="S50" s="4" t="str">
        <f>IF(Cases[[#This Row],[CASE ID]]&lt;&gt;"","NO","")</f>
        <v/>
      </c>
      <c r="T50" s="4"/>
      <c r="U50" s="4"/>
      <c r="V50" s="1"/>
      <c r="W50" s="28" t="str">
        <f>IF(OR((Overtime[[#This Row],[OVERTIME
HOURS]]&gt;0),(Overtime[[#This Row],[TRAVEL
HOURS]]&gt;0)),Overtime[[#This Row],[OVERTIME
HOURS]]+Overtime[[#This Row],[TRAVEL
HOURS]],"")</f>
        <v/>
      </c>
      <c r="X50" s="26" t="str">
        <f>IF(AND((Cases[[#This Row],[CASE ID]]&lt;&gt;""),(Overtime[[#This Row],[IS
OVERTIME]]="YES")),"{TO BE CALCULATED}","")</f>
        <v/>
      </c>
    </row>
    <row r="51" spans="1:24" s="5" customFormat="1" x14ac:dyDescent="0.3">
      <c r="A51" s="5">
        <v>47</v>
      </c>
      <c r="B51" s="1"/>
      <c r="C51" s="1"/>
      <c r="D51" s="2"/>
      <c r="E51" s="2"/>
      <c r="F51" s="3"/>
      <c r="G51" s="3"/>
      <c r="H51" s="3"/>
      <c r="I51" s="3"/>
      <c r="J51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51" s="25" t="str">
        <f>IF(ISERR(Cases[[#This Row],[TRAVEL-1]]+Cases[[#This Row],[TRAVEL-2]]),"-",Cases[[#This Row],[TRAVEL-1]]+Cases[[#This Row],[TRAVEL-2]])</f>
        <v>-</v>
      </c>
      <c r="L51" s="24" t="str">
        <f>IF(Cases[[#This Row],[CASE ID]]&lt;&gt;"",IF(OR(Cases[[#This Row],[TRAVEL START]]="",Cases[[#This Row],[TRAVEL END]]=""),"",Cases[[#This Row],[TRAVEL END]]-Cases[[#This Row],[TRAVEL START]]),"-")</f>
        <v>-</v>
      </c>
      <c r="M51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51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51" s="14"/>
      <c r="P51" s="4" t="str">
        <f>IF(Cases[[#This Row],[CASE ID]]&lt;&gt;"","NC","")</f>
        <v/>
      </c>
      <c r="Q51" s="4" t="str">
        <f>IF(Cases[[#This Row],[CASE ID]]&lt;&gt;"","NO","")</f>
        <v/>
      </c>
      <c r="R51" s="4" t="str">
        <f>IF(Cases[[#This Row],[CASE ID]]&lt;&gt;"","NO","")</f>
        <v/>
      </c>
      <c r="S51" s="4" t="str">
        <f>IF(Cases[[#This Row],[CASE ID]]&lt;&gt;"","NO","")</f>
        <v/>
      </c>
      <c r="T51" s="4"/>
      <c r="U51" s="4"/>
      <c r="V51" s="1"/>
      <c r="W51" s="28" t="str">
        <f>IF(OR((Overtime[[#This Row],[OVERTIME
HOURS]]&gt;0),(Overtime[[#This Row],[TRAVEL
HOURS]]&gt;0)),Overtime[[#This Row],[OVERTIME
HOURS]]+Overtime[[#This Row],[TRAVEL
HOURS]],"")</f>
        <v/>
      </c>
      <c r="X51" s="26" t="str">
        <f>IF(AND((Cases[[#This Row],[CASE ID]]&lt;&gt;""),(Overtime[[#This Row],[IS
OVERTIME]]="YES")),"{TO BE CALCULATED}","")</f>
        <v/>
      </c>
    </row>
    <row r="52" spans="1:24" s="5" customFormat="1" x14ac:dyDescent="0.3">
      <c r="A52" s="5">
        <v>48</v>
      </c>
      <c r="B52" s="1"/>
      <c r="C52" s="1"/>
      <c r="D52" s="2"/>
      <c r="E52" s="2"/>
      <c r="F52" s="3"/>
      <c r="G52" s="3"/>
      <c r="H52" s="3"/>
      <c r="I52" s="3"/>
      <c r="J52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52" s="25" t="str">
        <f>IF(ISERR(Cases[[#This Row],[TRAVEL-1]]+Cases[[#This Row],[TRAVEL-2]]),"-",Cases[[#This Row],[TRAVEL-1]]+Cases[[#This Row],[TRAVEL-2]])</f>
        <v>-</v>
      </c>
      <c r="L52" s="24" t="str">
        <f>IF(Cases[[#This Row],[CASE ID]]&lt;&gt;"",IF(OR(Cases[[#This Row],[TRAVEL START]]="",Cases[[#This Row],[TRAVEL END]]=""),"",Cases[[#This Row],[TRAVEL END]]-Cases[[#This Row],[TRAVEL START]]),"-")</f>
        <v>-</v>
      </c>
      <c r="M52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52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52" s="14"/>
      <c r="P52" s="4" t="str">
        <f>IF(Cases[[#This Row],[CASE ID]]&lt;&gt;"","NC","")</f>
        <v/>
      </c>
      <c r="Q52" s="4" t="str">
        <f>IF(Cases[[#This Row],[CASE ID]]&lt;&gt;"","NO","")</f>
        <v/>
      </c>
      <c r="R52" s="4" t="str">
        <f>IF(Cases[[#This Row],[CASE ID]]&lt;&gt;"","NO","")</f>
        <v/>
      </c>
      <c r="S52" s="4" t="str">
        <f>IF(Cases[[#This Row],[CASE ID]]&lt;&gt;"","NO","")</f>
        <v/>
      </c>
      <c r="T52" s="4"/>
      <c r="U52" s="4"/>
      <c r="V52" s="1"/>
      <c r="W52" s="28" t="str">
        <f>IF(OR((Overtime[[#This Row],[OVERTIME
HOURS]]&gt;0),(Overtime[[#This Row],[TRAVEL
HOURS]]&gt;0)),Overtime[[#This Row],[OVERTIME
HOURS]]+Overtime[[#This Row],[TRAVEL
HOURS]],"")</f>
        <v/>
      </c>
      <c r="X52" s="26" t="str">
        <f>IF(AND((Cases[[#This Row],[CASE ID]]&lt;&gt;""),(Overtime[[#This Row],[IS
OVERTIME]]="YES")),"{TO BE CALCULATED}","")</f>
        <v/>
      </c>
    </row>
    <row r="53" spans="1:24" s="5" customFormat="1" x14ac:dyDescent="0.3">
      <c r="A53" s="5">
        <v>49</v>
      </c>
      <c r="B53" s="1"/>
      <c r="C53" s="1"/>
      <c r="D53" s="2"/>
      <c r="E53" s="2"/>
      <c r="F53" s="3"/>
      <c r="G53" s="3"/>
      <c r="H53" s="3"/>
      <c r="I53" s="3"/>
      <c r="J53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53" s="25" t="str">
        <f>IF(ISERR(Cases[[#This Row],[TRAVEL-1]]+Cases[[#This Row],[TRAVEL-2]]),"-",Cases[[#This Row],[TRAVEL-1]]+Cases[[#This Row],[TRAVEL-2]])</f>
        <v>-</v>
      </c>
      <c r="L53" s="24" t="str">
        <f>IF(Cases[[#This Row],[CASE ID]]&lt;&gt;"",IF(OR(Cases[[#This Row],[TRAVEL START]]="",Cases[[#This Row],[TRAVEL END]]=""),"",Cases[[#This Row],[TRAVEL END]]-Cases[[#This Row],[TRAVEL START]]),"-")</f>
        <v>-</v>
      </c>
      <c r="M53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53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53" s="14"/>
      <c r="P53" s="4" t="str">
        <f>IF(Cases[[#This Row],[CASE ID]]&lt;&gt;"","NC","")</f>
        <v/>
      </c>
      <c r="Q53" s="4" t="str">
        <f>IF(Cases[[#This Row],[CASE ID]]&lt;&gt;"","NO","")</f>
        <v/>
      </c>
      <c r="R53" s="4" t="str">
        <f>IF(Cases[[#This Row],[CASE ID]]&lt;&gt;"","NO","")</f>
        <v/>
      </c>
      <c r="S53" s="4" t="str">
        <f>IF(Cases[[#This Row],[CASE ID]]&lt;&gt;"","NO","")</f>
        <v/>
      </c>
      <c r="T53" s="4"/>
      <c r="U53" s="4"/>
      <c r="V53" s="1"/>
      <c r="W53" s="28" t="str">
        <f>IF(OR((Overtime[[#This Row],[OVERTIME
HOURS]]&gt;0),(Overtime[[#This Row],[TRAVEL
HOURS]]&gt;0)),Overtime[[#This Row],[OVERTIME
HOURS]]+Overtime[[#This Row],[TRAVEL
HOURS]],"")</f>
        <v/>
      </c>
      <c r="X53" s="26" t="str">
        <f>IF(AND((Cases[[#This Row],[CASE ID]]&lt;&gt;""),(Overtime[[#This Row],[IS
OVERTIME]]="YES")),"{TO BE CALCULATED}","")</f>
        <v/>
      </c>
    </row>
    <row r="54" spans="1:24" s="5" customFormat="1" x14ac:dyDescent="0.3">
      <c r="A54" s="5">
        <v>50</v>
      </c>
      <c r="B54" s="1"/>
      <c r="C54" s="1"/>
      <c r="D54" s="2"/>
      <c r="E54" s="2"/>
      <c r="F54" s="3"/>
      <c r="G54" s="3"/>
      <c r="H54" s="3"/>
      <c r="I54" s="3"/>
      <c r="J54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54" s="25" t="str">
        <f>IF(ISERR(Cases[[#This Row],[TRAVEL-1]]+Cases[[#This Row],[TRAVEL-2]]),"-",Cases[[#This Row],[TRAVEL-1]]+Cases[[#This Row],[TRAVEL-2]])</f>
        <v>-</v>
      </c>
      <c r="L54" s="24" t="str">
        <f>IF(Cases[[#This Row],[CASE ID]]&lt;&gt;"",IF(OR(Cases[[#This Row],[TRAVEL START]]="",Cases[[#This Row],[TRAVEL END]]=""),"",Cases[[#This Row],[TRAVEL END]]-Cases[[#This Row],[TRAVEL START]]),"-")</f>
        <v>-</v>
      </c>
      <c r="M54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54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O54" s="14"/>
      <c r="P54" s="4" t="str">
        <f>IF(Cases[[#This Row],[CASE ID]]&lt;&gt;"","NC","")</f>
        <v/>
      </c>
      <c r="Q54" s="4" t="str">
        <f>IF(Cases[[#This Row],[CASE ID]]&lt;&gt;"","NO","")</f>
        <v/>
      </c>
      <c r="R54" s="4" t="str">
        <f>IF(Cases[[#This Row],[CASE ID]]&lt;&gt;"","NO","")</f>
        <v/>
      </c>
      <c r="S54" s="4" t="str">
        <f>IF(Cases[[#This Row],[CASE ID]]&lt;&gt;"","NO","")</f>
        <v/>
      </c>
      <c r="T54" s="4"/>
      <c r="U54" s="4"/>
      <c r="V54" s="1"/>
      <c r="W54" s="28" t="str">
        <f>IF(OR((Overtime[[#This Row],[OVERTIME
HOURS]]&gt;0),(Overtime[[#This Row],[TRAVEL
HOURS]]&gt;0)),Overtime[[#This Row],[OVERTIME
HOURS]]+Overtime[[#This Row],[TRAVEL
HOURS]],"")</f>
        <v/>
      </c>
      <c r="X54" s="26" t="str">
        <f>IF(AND((Cases[[#This Row],[CASE ID]]&lt;&gt;""),(Overtime[[#This Row],[IS
OVERTIME]]="YES")),"{TO BE CALCULATED}","")</f>
        <v/>
      </c>
    </row>
    <row r="55" spans="1:24" x14ac:dyDescent="0.3">
      <c r="A55" s="5">
        <v>51</v>
      </c>
      <c r="B55" s="1"/>
      <c r="C55" s="1"/>
      <c r="D55" s="2"/>
      <c r="E55" s="2"/>
      <c r="F55" s="3"/>
      <c r="G55" s="3"/>
      <c r="H55" s="3"/>
      <c r="I55" s="3"/>
      <c r="J55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55" s="25" t="str">
        <f>IF(ISERR(Cases[[#This Row],[TRAVEL-1]]+Cases[[#This Row],[TRAVEL-2]]),"-",Cases[[#This Row],[TRAVEL-1]]+Cases[[#This Row],[TRAVEL-2]])</f>
        <v>-</v>
      </c>
      <c r="L55" s="24" t="str">
        <f>IF(Cases[[#This Row],[CASE ID]]&lt;&gt;"",IF(OR(Cases[[#This Row],[TRAVEL START]]="",Cases[[#This Row],[TRAVEL END]]=""),"",Cases[[#This Row],[TRAVEL END]]-Cases[[#This Row],[TRAVEL START]]),"-")</f>
        <v>-</v>
      </c>
      <c r="M55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55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P55" s="23" t="str">
        <f>IF(Cases[[#This Row],[CASE ID]]&lt;&gt;"","NC","")</f>
        <v/>
      </c>
      <c r="Q55" s="23" t="str">
        <f>IF(Cases[[#This Row],[CASE ID]]&lt;&gt;"","NO","")</f>
        <v/>
      </c>
      <c r="R55" s="23" t="str">
        <f>IF(Cases[[#This Row],[CASE ID]]&lt;&gt;"","NO","")</f>
        <v/>
      </c>
      <c r="S55" s="23" t="str">
        <f>IF(Cases[[#This Row],[CASE ID]]&lt;&gt;"","NO","")</f>
        <v/>
      </c>
      <c r="T55" s="4"/>
      <c r="U55" s="4"/>
      <c r="V55" s="1"/>
      <c r="W55" s="29" t="str">
        <f>IF(OR((Overtime[[#This Row],[OVERTIME
HOURS]]&gt;0),(Overtime[[#This Row],[TRAVEL
HOURS]]&gt;0)),Overtime[[#This Row],[OVERTIME
HOURS]]+Overtime[[#This Row],[TRAVEL
HOURS]],"")</f>
        <v/>
      </c>
      <c r="X55" s="27" t="str">
        <f>IF(AND((Cases[[#This Row],[CASE ID]]&lt;&gt;""),(Overtime[[#This Row],[IS
OVERTIME]]="YES")),"{TO BE CALCULATED}","")</f>
        <v/>
      </c>
    </row>
    <row r="56" spans="1:24" x14ac:dyDescent="0.3">
      <c r="A56" s="5">
        <v>52</v>
      </c>
      <c r="B56" s="1"/>
      <c r="C56" s="1"/>
      <c r="D56" s="2"/>
      <c r="E56" s="2"/>
      <c r="F56" s="3"/>
      <c r="G56" s="3"/>
      <c r="H56" s="3"/>
      <c r="I56" s="3"/>
      <c r="J56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56" s="25" t="str">
        <f>IF(ISERR(Cases[[#This Row],[TRAVEL-1]]+Cases[[#This Row],[TRAVEL-2]]),"-",Cases[[#This Row],[TRAVEL-1]]+Cases[[#This Row],[TRAVEL-2]])</f>
        <v>-</v>
      </c>
      <c r="L56" s="24" t="str">
        <f>IF(Cases[[#This Row],[CASE ID]]&lt;&gt;"",IF(OR(Cases[[#This Row],[TRAVEL START]]="",Cases[[#This Row],[TRAVEL END]]=""),"",Cases[[#This Row],[TRAVEL END]]-Cases[[#This Row],[TRAVEL START]]),"-")</f>
        <v>-</v>
      </c>
      <c r="M56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56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P56" s="23" t="str">
        <f>IF(Cases[[#This Row],[CASE ID]]&lt;&gt;"","NC","")</f>
        <v/>
      </c>
      <c r="Q56" s="23" t="str">
        <f>IF(Cases[[#This Row],[CASE ID]]&lt;&gt;"","NO","")</f>
        <v/>
      </c>
      <c r="R56" s="23" t="str">
        <f>IF(Cases[[#This Row],[CASE ID]]&lt;&gt;"","NO","")</f>
        <v/>
      </c>
      <c r="S56" s="23" t="str">
        <f>IF(Cases[[#This Row],[CASE ID]]&lt;&gt;"","NO","")</f>
        <v/>
      </c>
      <c r="T56" s="4"/>
      <c r="U56" s="4"/>
      <c r="V56" s="1"/>
      <c r="W56" s="29" t="str">
        <f>IF(OR((Overtime[[#This Row],[OVERTIME
HOURS]]&gt;0),(Overtime[[#This Row],[TRAVEL
HOURS]]&gt;0)),Overtime[[#This Row],[OVERTIME
HOURS]]+Overtime[[#This Row],[TRAVEL
HOURS]],"")</f>
        <v/>
      </c>
      <c r="X56" s="27" t="str">
        <f>IF(AND((Cases[[#This Row],[CASE ID]]&lt;&gt;""),(Overtime[[#This Row],[IS
OVERTIME]]="YES")),"{TO BE CALCULATED}","")</f>
        <v/>
      </c>
    </row>
    <row r="57" spans="1:24" x14ac:dyDescent="0.3">
      <c r="A57" s="5">
        <v>53</v>
      </c>
      <c r="B57" s="1"/>
      <c r="C57" s="1"/>
      <c r="D57" s="2"/>
      <c r="E57" s="2"/>
      <c r="F57" s="3"/>
      <c r="G57" s="3"/>
      <c r="H57" s="3"/>
      <c r="I57" s="3"/>
      <c r="J57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57" s="25" t="str">
        <f>IF(ISERR(Cases[[#This Row],[TRAVEL-1]]+Cases[[#This Row],[TRAVEL-2]]),"-",Cases[[#This Row],[TRAVEL-1]]+Cases[[#This Row],[TRAVEL-2]])</f>
        <v>-</v>
      </c>
      <c r="L57" s="24" t="str">
        <f>IF(Cases[[#This Row],[CASE ID]]&lt;&gt;"",IF(OR(Cases[[#This Row],[TRAVEL START]]="",Cases[[#This Row],[TRAVEL END]]=""),"",Cases[[#This Row],[TRAVEL END]]-Cases[[#This Row],[TRAVEL START]]),"-")</f>
        <v>-</v>
      </c>
      <c r="M57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57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P57" s="23" t="str">
        <f>IF(Cases[[#This Row],[CASE ID]]&lt;&gt;"","NC","")</f>
        <v/>
      </c>
      <c r="Q57" s="23" t="str">
        <f>IF(Cases[[#This Row],[CASE ID]]&lt;&gt;"","NO","")</f>
        <v/>
      </c>
      <c r="R57" s="23" t="str">
        <f>IF(Cases[[#This Row],[CASE ID]]&lt;&gt;"","NO","")</f>
        <v/>
      </c>
      <c r="S57" s="23" t="str">
        <f>IF(Cases[[#This Row],[CASE ID]]&lt;&gt;"","NO","")</f>
        <v/>
      </c>
      <c r="T57" s="4"/>
      <c r="U57" s="4"/>
      <c r="V57" s="1"/>
      <c r="W57" s="29" t="str">
        <f>IF(OR((Overtime[[#This Row],[OVERTIME
HOURS]]&gt;0),(Overtime[[#This Row],[TRAVEL
HOURS]]&gt;0)),Overtime[[#This Row],[OVERTIME
HOURS]]+Overtime[[#This Row],[TRAVEL
HOURS]],"")</f>
        <v/>
      </c>
      <c r="X57" s="27" t="str">
        <f>IF(AND((Cases[[#This Row],[CASE ID]]&lt;&gt;""),(Overtime[[#This Row],[IS
OVERTIME]]="YES")),"{TO BE CALCULATED}","")</f>
        <v/>
      </c>
    </row>
    <row r="58" spans="1:24" x14ac:dyDescent="0.3">
      <c r="A58" s="5">
        <v>54</v>
      </c>
      <c r="B58" s="1"/>
      <c r="C58" s="1"/>
      <c r="D58" s="2"/>
      <c r="E58" s="2"/>
      <c r="F58" s="3"/>
      <c r="G58" s="3"/>
      <c r="H58" s="3"/>
      <c r="I58" s="3"/>
      <c r="J58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58" s="25" t="str">
        <f>IF(ISERR(Cases[[#This Row],[TRAVEL-1]]+Cases[[#This Row],[TRAVEL-2]]),"-",Cases[[#This Row],[TRAVEL-1]]+Cases[[#This Row],[TRAVEL-2]])</f>
        <v>-</v>
      </c>
      <c r="L58" s="24" t="str">
        <f>IF(Cases[[#This Row],[CASE ID]]&lt;&gt;"",IF(OR(Cases[[#This Row],[TRAVEL START]]="",Cases[[#This Row],[TRAVEL END]]=""),"",Cases[[#This Row],[TRAVEL END]]-Cases[[#This Row],[TRAVEL START]]),"-")</f>
        <v>-</v>
      </c>
      <c r="M58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58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P58" s="23" t="str">
        <f>IF(Cases[[#This Row],[CASE ID]]&lt;&gt;"","NC","")</f>
        <v/>
      </c>
      <c r="Q58" s="23" t="str">
        <f>IF(Cases[[#This Row],[CASE ID]]&lt;&gt;"","NO","")</f>
        <v/>
      </c>
      <c r="R58" s="23" t="str">
        <f>IF(Cases[[#This Row],[CASE ID]]&lt;&gt;"","NO","")</f>
        <v/>
      </c>
      <c r="S58" s="23" t="str">
        <f>IF(Cases[[#This Row],[CASE ID]]&lt;&gt;"","NO","")</f>
        <v/>
      </c>
      <c r="T58" s="4"/>
      <c r="U58" s="4"/>
      <c r="V58" s="1"/>
      <c r="W58" s="29" t="str">
        <f>IF(OR((Overtime[[#This Row],[OVERTIME
HOURS]]&gt;0),(Overtime[[#This Row],[TRAVEL
HOURS]]&gt;0)),Overtime[[#This Row],[OVERTIME
HOURS]]+Overtime[[#This Row],[TRAVEL
HOURS]],"")</f>
        <v/>
      </c>
      <c r="X58" s="27" t="str">
        <f>IF(AND((Cases[[#This Row],[CASE ID]]&lt;&gt;""),(Overtime[[#This Row],[IS
OVERTIME]]="YES")),"{TO BE CALCULATED}","")</f>
        <v/>
      </c>
    </row>
    <row r="59" spans="1:24" x14ac:dyDescent="0.3">
      <c r="A59" s="5">
        <v>55</v>
      </c>
      <c r="B59" s="1"/>
      <c r="C59" s="1"/>
      <c r="D59" s="2"/>
      <c r="E59" s="2"/>
      <c r="F59" s="3"/>
      <c r="G59" s="3"/>
      <c r="H59" s="3"/>
      <c r="I59" s="3"/>
      <c r="J59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59" s="25" t="str">
        <f>IF(ISERR(Cases[[#This Row],[TRAVEL-1]]+Cases[[#This Row],[TRAVEL-2]]),"-",Cases[[#This Row],[TRAVEL-1]]+Cases[[#This Row],[TRAVEL-2]])</f>
        <v>-</v>
      </c>
      <c r="L59" s="24" t="str">
        <f>IF(Cases[[#This Row],[CASE ID]]&lt;&gt;"",IF(OR(Cases[[#This Row],[TRAVEL START]]="",Cases[[#This Row],[TRAVEL END]]=""),"",Cases[[#This Row],[TRAVEL END]]-Cases[[#This Row],[TRAVEL START]]),"-")</f>
        <v>-</v>
      </c>
      <c r="M59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59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P59" s="23" t="str">
        <f>IF(Cases[[#This Row],[CASE ID]]&lt;&gt;"","NC","")</f>
        <v/>
      </c>
      <c r="Q59" s="23" t="str">
        <f>IF(Cases[[#This Row],[CASE ID]]&lt;&gt;"","NO","")</f>
        <v/>
      </c>
      <c r="R59" s="23" t="str">
        <f>IF(Cases[[#This Row],[CASE ID]]&lt;&gt;"","NO","")</f>
        <v/>
      </c>
      <c r="S59" s="23" t="str">
        <f>IF(Cases[[#This Row],[CASE ID]]&lt;&gt;"","NO","")</f>
        <v/>
      </c>
      <c r="T59" s="4"/>
      <c r="U59" s="4"/>
      <c r="V59" s="1"/>
      <c r="W59" s="29" t="str">
        <f>IF(OR((Overtime[[#This Row],[OVERTIME
HOURS]]&gt;0),(Overtime[[#This Row],[TRAVEL
HOURS]]&gt;0)),Overtime[[#This Row],[OVERTIME
HOURS]]+Overtime[[#This Row],[TRAVEL
HOURS]],"")</f>
        <v/>
      </c>
      <c r="X59" s="27" t="str">
        <f>IF(AND((Cases[[#This Row],[CASE ID]]&lt;&gt;""),(Overtime[[#This Row],[IS
OVERTIME]]="YES")),"{TO BE CALCULATED}","")</f>
        <v/>
      </c>
    </row>
    <row r="60" spans="1:24" x14ac:dyDescent="0.3">
      <c r="A60" s="5">
        <v>56</v>
      </c>
      <c r="B60" s="1"/>
      <c r="C60" s="1"/>
      <c r="D60" s="2"/>
      <c r="E60" s="2"/>
      <c r="F60" s="3"/>
      <c r="G60" s="3"/>
      <c r="H60" s="3"/>
      <c r="I60" s="3"/>
      <c r="J60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60" s="25" t="str">
        <f>IF(ISERR(Cases[[#This Row],[TRAVEL-1]]+Cases[[#This Row],[TRAVEL-2]]),"-",Cases[[#This Row],[TRAVEL-1]]+Cases[[#This Row],[TRAVEL-2]])</f>
        <v>-</v>
      </c>
      <c r="L60" s="24" t="str">
        <f>IF(Cases[[#This Row],[CASE ID]]&lt;&gt;"",IF(OR(Cases[[#This Row],[TRAVEL START]]="",Cases[[#This Row],[TRAVEL END]]=""),"",Cases[[#This Row],[TRAVEL END]]-Cases[[#This Row],[TRAVEL START]]),"-")</f>
        <v>-</v>
      </c>
      <c r="M60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60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P60" s="23" t="str">
        <f>IF(Cases[[#This Row],[CASE ID]]&lt;&gt;"","NC","")</f>
        <v/>
      </c>
      <c r="Q60" s="23" t="str">
        <f>IF(Cases[[#This Row],[CASE ID]]&lt;&gt;"","NO","")</f>
        <v/>
      </c>
      <c r="R60" s="23" t="str">
        <f>IF(Cases[[#This Row],[CASE ID]]&lt;&gt;"","NO","")</f>
        <v/>
      </c>
      <c r="S60" s="23" t="str">
        <f>IF(Cases[[#This Row],[CASE ID]]&lt;&gt;"","NO","")</f>
        <v/>
      </c>
      <c r="T60" s="4"/>
      <c r="U60" s="4"/>
      <c r="V60" s="1"/>
      <c r="W60" s="29" t="str">
        <f>IF(OR((Overtime[[#This Row],[OVERTIME
HOURS]]&gt;0),(Overtime[[#This Row],[TRAVEL
HOURS]]&gt;0)),Overtime[[#This Row],[OVERTIME
HOURS]]+Overtime[[#This Row],[TRAVEL
HOURS]],"")</f>
        <v/>
      </c>
      <c r="X60" s="27" t="str">
        <f>IF(AND((Cases[[#This Row],[CASE ID]]&lt;&gt;""),(Overtime[[#This Row],[IS
OVERTIME]]="YES")),"{TO BE CALCULATED}","")</f>
        <v/>
      </c>
    </row>
    <row r="61" spans="1:24" x14ac:dyDescent="0.3">
      <c r="A61" s="5">
        <v>57</v>
      </c>
      <c r="B61" s="1"/>
      <c r="C61" s="1"/>
      <c r="D61" s="2"/>
      <c r="E61" s="2"/>
      <c r="F61" s="3"/>
      <c r="G61" s="3"/>
      <c r="H61" s="3"/>
      <c r="I61" s="3"/>
      <c r="J61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61" s="25" t="str">
        <f>IF(ISERR(Cases[[#This Row],[TRAVEL-1]]+Cases[[#This Row],[TRAVEL-2]]),"-",Cases[[#This Row],[TRAVEL-1]]+Cases[[#This Row],[TRAVEL-2]])</f>
        <v>-</v>
      </c>
      <c r="L61" s="24" t="str">
        <f>IF(Cases[[#This Row],[CASE ID]]&lt;&gt;"",IF(OR(Cases[[#This Row],[TRAVEL START]]="",Cases[[#This Row],[TRAVEL END]]=""),"",Cases[[#This Row],[TRAVEL END]]-Cases[[#This Row],[TRAVEL START]]),"-")</f>
        <v>-</v>
      </c>
      <c r="M61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61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P61" s="23" t="str">
        <f>IF(Cases[[#This Row],[CASE ID]]&lt;&gt;"","NC","")</f>
        <v/>
      </c>
      <c r="Q61" s="23" t="str">
        <f>IF(Cases[[#This Row],[CASE ID]]&lt;&gt;"","NO","")</f>
        <v/>
      </c>
      <c r="R61" s="23" t="str">
        <f>IF(Cases[[#This Row],[CASE ID]]&lt;&gt;"","NO","")</f>
        <v/>
      </c>
      <c r="S61" s="23" t="str">
        <f>IF(Cases[[#This Row],[CASE ID]]&lt;&gt;"","NO","")</f>
        <v/>
      </c>
      <c r="T61" s="4"/>
      <c r="U61" s="4"/>
      <c r="V61" s="1"/>
      <c r="W61" s="29" t="str">
        <f>IF(OR((Overtime[[#This Row],[OVERTIME
HOURS]]&gt;0),(Overtime[[#This Row],[TRAVEL
HOURS]]&gt;0)),Overtime[[#This Row],[OVERTIME
HOURS]]+Overtime[[#This Row],[TRAVEL
HOURS]],"")</f>
        <v/>
      </c>
      <c r="X61" s="27" t="str">
        <f>IF(AND((Cases[[#This Row],[CASE ID]]&lt;&gt;""),(Overtime[[#This Row],[IS
OVERTIME]]="YES")),"{TO BE CALCULATED}","")</f>
        <v/>
      </c>
    </row>
    <row r="62" spans="1:24" x14ac:dyDescent="0.3">
      <c r="A62" s="5">
        <v>58</v>
      </c>
      <c r="B62" s="1"/>
      <c r="C62" s="1"/>
      <c r="D62" s="2"/>
      <c r="E62" s="2"/>
      <c r="F62" s="3"/>
      <c r="G62" s="3"/>
      <c r="H62" s="3"/>
      <c r="I62" s="3"/>
      <c r="J62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62" s="25" t="str">
        <f>IF(ISERR(Cases[[#This Row],[TRAVEL-1]]+Cases[[#This Row],[TRAVEL-2]]),"-",Cases[[#This Row],[TRAVEL-1]]+Cases[[#This Row],[TRAVEL-2]])</f>
        <v>-</v>
      </c>
      <c r="L62" s="24" t="str">
        <f>IF(Cases[[#This Row],[CASE ID]]&lt;&gt;"",IF(OR(Cases[[#This Row],[TRAVEL START]]="",Cases[[#This Row],[TRAVEL END]]=""),"",Cases[[#This Row],[TRAVEL END]]-Cases[[#This Row],[TRAVEL START]]),"-")</f>
        <v>-</v>
      </c>
      <c r="M62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62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P62" s="23" t="str">
        <f>IF(Cases[[#This Row],[CASE ID]]&lt;&gt;"","NC","")</f>
        <v/>
      </c>
      <c r="Q62" s="23" t="str">
        <f>IF(Cases[[#This Row],[CASE ID]]&lt;&gt;"","NO","")</f>
        <v/>
      </c>
      <c r="R62" s="23" t="str">
        <f>IF(Cases[[#This Row],[CASE ID]]&lt;&gt;"","NO","")</f>
        <v/>
      </c>
      <c r="S62" s="23" t="str">
        <f>IF(Cases[[#This Row],[CASE ID]]&lt;&gt;"","NO","")</f>
        <v/>
      </c>
      <c r="T62" s="4"/>
      <c r="U62" s="4"/>
      <c r="V62" s="1"/>
      <c r="W62" s="29" t="str">
        <f>IF(OR((Overtime[[#This Row],[OVERTIME
HOURS]]&gt;0),(Overtime[[#This Row],[TRAVEL
HOURS]]&gt;0)),Overtime[[#This Row],[OVERTIME
HOURS]]+Overtime[[#This Row],[TRAVEL
HOURS]],"")</f>
        <v/>
      </c>
      <c r="X62" s="27" t="str">
        <f>IF(AND((Cases[[#This Row],[CASE ID]]&lt;&gt;""),(Overtime[[#This Row],[IS
OVERTIME]]="YES")),"{TO BE CALCULATED}","")</f>
        <v/>
      </c>
    </row>
    <row r="63" spans="1:24" x14ac:dyDescent="0.3">
      <c r="A63" s="5">
        <v>59</v>
      </c>
      <c r="B63" s="1"/>
      <c r="C63" s="1"/>
      <c r="D63" s="2"/>
      <c r="E63" s="2"/>
      <c r="F63" s="3"/>
      <c r="G63" s="3"/>
      <c r="H63" s="3"/>
      <c r="I63" s="3"/>
      <c r="J63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63" s="25" t="str">
        <f>IF(ISERR(Cases[[#This Row],[TRAVEL-1]]+Cases[[#This Row],[TRAVEL-2]]),"-",Cases[[#This Row],[TRAVEL-1]]+Cases[[#This Row],[TRAVEL-2]])</f>
        <v>-</v>
      </c>
      <c r="L63" s="24" t="str">
        <f>IF(Cases[[#This Row],[CASE ID]]&lt;&gt;"",IF(OR(Cases[[#This Row],[TRAVEL START]]="",Cases[[#This Row],[TRAVEL END]]=""),"",Cases[[#This Row],[TRAVEL END]]-Cases[[#This Row],[TRAVEL START]]),"-")</f>
        <v>-</v>
      </c>
      <c r="M63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63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P63" s="23" t="str">
        <f>IF(Cases[[#This Row],[CASE ID]]&lt;&gt;"","NC","")</f>
        <v/>
      </c>
      <c r="Q63" s="23" t="str">
        <f>IF(Cases[[#This Row],[CASE ID]]&lt;&gt;"","NO","")</f>
        <v/>
      </c>
      <c r="R63" s="23" t="str">
        <f>IF(Cases[[#This Row],[CASE ID]]&lt;&gt;"","NO","")</f>
        <v/>
      </c>
      <c r="S63" s="23" t="str">
        <f>IF(Cases[[#This Row],[CASE ID]]&lt;&gt;"","NO","")</f>
        <v/>
      </c>
      <c r="T63" s="4"/>
      <c r="U63" s="4"/>
      <c r="V63" s="1"/>
      <c r="W63" s="29" t="str">
        <f>IF(OR((Overtime[[#This Row],[OVERTIME
HOURS]]&gt;0),(Overtime[[#This Row],[TRAVEL
HOURS]]&gt;0)),Overtime[[#This Row],[OVERTIME
HOURS]]+Overtime[[#This Row],[TRAVEL
HOURS]],"")</f>
        <v/>
      </c>
      <c r="X63" s="27" t="str">
        <f>IF(AND((Cases[[#This Row],[CASE ID]]&lt;&gt;""),(Overtime[[#This Row],[IS
OVERTIME]]="YES")),"{TO BE CALCULATED}","")</f>
        <v/>
      </c>
    </row>
    <row r="64" spans="1:24" x14ac:dyDescent="0.3">
      <c r="A64" s="5">
        <v>60</v>
      </c>
      <c r="B64" s="1"/>
      <c r="C64" s="1"/>
      <c r="D64" s="2"/>
      <c r="E64" s="2"/>
      <c r="F64" s="3"/>
      <c r="G64" s="3"/>
      <c r="H64" s="3"/>
      <c r="I64" s="3"/>
      <c r="J64" s="25" t="str">
        <f>IF(AND(Cases[[#This Row],[CASE ID]]&lt;&gt;"",Cases[[#This Row],[WORK START]]&lt;&gt;"",Cases[[#This Row],[WORK COMPLETE]]&lt;&gt;""),IF(ISERR(Cases[[#This Row],[WORK COMPLETE]]-Cases[[#This Row],[WORK START]]),"-",Cases[[#This Row],[WORK COMPLETE]]-Cases[[#This Row],[WORK START]]),"-")</f>
        <v>-</v>
      </c>
      <c r="K64" s="25" t="str">
        <f>IF(ISERR(Cases[[#This Row],[TRAVEL-1]]+Cases[[#This Row],[TRAVEL-2]]),"-",Cases[[#This Row],[TRAVEL-1]]+Cases[[#This Row],[TRAVEL-2]])</f>
        <v>-</v>
      </c>
      <c r="L64" s="24" t="str">
        <f>IF(Cases[[#This Row],[CASE ID]]&lt;&gt;"",IF(OR(Cases[[#This Row],[TRAVEL START]]="",Cases[[#This Row],[TRAVEL END]]=""),"",Cases[[#This Row],[TRAVEL END]]-Cases[[#This Row],[TRAVEL START]]),"-")</f>
        <v>-</v>
      </c>
      <c r="M64" s="16" t="str">
        <f>IF(AND(Cases[[#This Row],[CASE ID]]&lt;&gt;"",Cases[[#This Row],[TRAVEL START]]&lt;&gt;"",Cases[[#This Row],[WORK START]]&lt;&gt;""),IF(ISERR(Cases[[#This Row],[WORK START]]-Cases[[#This Row],[TRAVEL START]]),"-",Cases[[#This Row],[WORK START]]-Cases[[#This Row],[TRAVEL START]]),"")</f>
        <v/>
      </c>
      <c r="N64" s="16" t="str">
        <f>IF(AND(Cases[[#This Row],[CASE ID]]&lt;&gt;"",Cases[[#This Row],[WORK COMPLETE]]&lt;&gt;"",Cases[[#This Row],[TRAVEL END]]&lt;&gt;""),IF(ISERR(Cases[[#This Row],[TRAVEL END]]-Cases[[#This Row],[WORK COMPLETE]]),"-",Cases[[#This Row],[TRAVEL END]]-Cases[[#This Row],[WORK COMPLETE]]),"")</f>
        <v/>
      </c>
      <c r="P64" s="23" t="str">
        <f>IF(Cases[[#This Row],[CASE ID]]&lt;&gt;"","NC","")</f>
        <v/>
      </c>
      <c r="Q64" s="23" t="str">
        <f>IF(Cases[[#This Row],[CASE ID]]&lt;&gt;"","NO","")</f>
        <v/>
      </c>
      <c r="R64" s="23" t="str">
        <f>IF(Cases[[#This Row],[CASE ID]]&lt;&gt;"","NO","")</f>
        <v/>
      </c>
      <c r="S64" s="23" t="str">
        <f>IF(Cases[[#This Row],[CASE ID]]&lt;&gt;"","NO","")</f>
        <v/>
      </c>
      <c r="T64" s="4"/>
      <c r="U64" s="4"/>
      <c r="V64" s="1"/>
      <c r="W64" s="29" t="str">
        <f>IF(OR((Overtime[[#This Row],[OVERTIME
HOURS]]&gt;0),(Overtime[[#This Row],[TRAVEL
HOURS]]&gt;0)),Overtime[[#This Row],[OVERTIME
HOURS]]+Overtime[[#This Row],[TRAVEL
HOURS]],"")</f>
        <v/>
      </c>
      <c r="X64" s="27" t="str">
        <f>IF(AND((Cases[[#This Row],[CASE ID]]&lt;&gt;""),(Overtime[[#This Row],[IS
OVERTIME]]="YES")),"{TO BE CALCULATED}","")</f>
        <v/>
      </c>
    </row>
  </sheetData>
  <sheetProtection password="F25E" sheet="1" objects="1" scenarios="1" autoFilter="0"/>
  <mergeCells count="5">
    <mergeCell ref="A2:L2"/>
    <mergeCell ref="J3:L3"/>
    <mergeCell ref="F3:I3"/>
    <mergeCell ref="A3:E3"/>
    <mergeCell ref="P1:X2"/>
  </mergeCells>
  <dataValidations count="4">
    <dataValidation type="list" allowBlank="1" showInputMessage="1" showErrorMessage="1" promptTitle="STANDBY OPTION" prompt="_x000a_Choose a &quot;YES&quot; when case supported during standby" sqref="Q5:Q64">
      <formula1>"YES,NO"</formula1>
    </dataValidation>
    <dataValidation type="list" allowBlank="1" showInputMessage="1" promptTitle="OVERTIME OPTION" prompt="_x000a_Choose a &quot;YES&quot; when case supported after office hour_x000a_Choose a &quot;CONTINUE&quot; to mark as continuance of previous case" sqref="R5:R64">
      <formula1>"YES,CONTINUE,NO"</formula1>
    </dataValidation>
    <dataValidation type="list" allowBlank="1" showInputMessage="1" promptTitle="CASE TYPE OPTION" prompt="_x000a_Choose a &quot;C&quot; for corrective case_x000a_Choose a &quot;NC&quot; for non-corrective case" sqref="P5:P64">
      <formula1>"C,NC"</formula1>
    </dataValidation>
    <dataValidation type="list" allowBlank="1" showInputMessage="1" promptTitle="HOLIDAY OPTION" prompt="_x000a_Choose a &quot;YES&quot; when case supported during holiday" sqref="S5:S64">
      <formula1>"YES,NO"</formula1>
    </dataValidation>
  </dataValidations>
  <pageMargins left="0.7" right="0.7" top="0.75" bottom="0.75" header="0.3" footer="0.3"/>
  <pageSetup orientation="portrait" horizontalDpi="4294967295" verticalDpi="4294967295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 of Cases</vt:lpstr>
    </vt:vector>
  </TitlesOfParts>
  <Company>Hewlett 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Angga WISNU</dc:creator>
  <cp:lastModifiedBy>Angga Wisnu .</cp:lastModifiedBy>
  <dcterms:created xsi:type="dcterms:W3CDTF">2016-09-04T11:00:35Z</dcterms:created>
  <dcterms:modified xsi:type="dcterms:W3CDTF">2019-08-21T00:13:55Z</dcterms:modified>
</cp:coreProperties>
</file>