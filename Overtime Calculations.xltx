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/>
  <workbookPr/>
  <mc:AlternateContent xmlns:mc="http://schemas.openxmlformats.org/markup-compatibility/2006">
    <mc:Choice Requires="x15">
      <x15ac:absPath xmlns:x15ac="http://schemas.microsoft.com/office/spreadsheetml/2010/11/ac" url="C:\Work\Templates\"/>
    </mc:Choice>
  </mc:AlternateContent>
  <xr:revisionPtr revIDLastSave="0" documentId="13_ncr:1_{8EF6131C-B016-4606-973E-846B380E1C98}" xr6:coauthVersionLast="44" xr6:coauthVersionMax="44" xr10:uidLastSave="{00000000-0000-0000-0000-000000000000}"/>
  <bookViews>
    <workbookView xWindow="-120" yWindow="-120" windowWidth="29040" windowHeight="15525" xr2:uid="{00000000-000D-0000-FFFF-FFFF00000000}"/>
  </bookViews>
  <sheets>
    <sheet name="Overtime Calculations" sheetId="1" r:id="rId1"/>
  </sheets>
  <definedNames>
    <definedName name="_xlnm.Print_Area" localSheetId="0">'Overtime Calculations'!$A$2:$S$47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0" i="1" l="1"/>
  <c r="J19" i="1"/>
  <c r="J18" i="1"/>
  <c r="I20" i="1"/>
  <c r="I19" i="1"/>
  <c r="I18" i="1"/>
  <c r="R20" i="1"/>
  <c r="R19" i="1"/>
  <c r="R18" i="1"/>
  <c r="S20" i="1"/>
  <c r="S19" i="1"/>
  <c r="S18" i="1"/>
  <c r="S38" i="1"/>
  <c r="S37" i="1"/>
  <c r="S36" i="1"/>
  <c r="R38" i="1"/>
  <c r="R37" i="1"/>
  <c r="R36" i="1"/>
  <c r="J38" i="1"/>
  <c r="J37" i="1"/>
  <c r="J36" i="1"/>
  <c r="I38" i="1"/>
  <c r="I37" i="1"/>
  <c r="I36" i="1"/>
  <c r="S35" i="1" l="1"/>
  <c r="R35" i="1"/>
  <c r="J35" i="1"/>
  <c r="I35" i="1"/>
  <c r="S17" i="1"/>
  <c r="R17" i="1"/>
  <c r="J17" i="1"/>
  <c r="I17" i="1"/>
  <c r="S16" i="1"/>
  <c r="R16" i="1"/>
  <c r="J16" i="1"/>
  <c r="I16" i="1"/>
  <c r="S15" i="1"/>
  <c r="R15" i="1"/>
  <c r="J15" i="1"/>
  <c r="I15" i="1"/>
  <c r="S14" i="1"/>
  <c r="R14" i="1"/>
  <c r="J14" i="1"/>
  <c r="I14" i="1"/>
  <c r="S13" i="1"/>
  <c r="R13" i="1"/>
  <c r="J13" i="1"/>
  <c r="I13" i="1"/>
  <c r="J39" i="1" l="1"/>
  <c r="I39" i="1"/>
  <c r="J34" i="1"/>
  <c r="I34" i="1"/>
  <c r="J33" i="1"/>
  <c r="I33" i="1"/>
  <c r="J32" i="1"/>
  <c r="I32" i="1"/>
  <c r="J31" i="1"/>
  <c r="I31" i="1"/>
  <c r="J30" i="1"/>
  <c r="I30" i="1"/>
  <c r="J29" i="1"/>
  <c r="I29" i="1"/>
  <c r="J28" i="1"/>
  <c r="I28" i="1"/>
  <c r="J27" i="1"/>
  <c r="I27" i="1"/>
  <c r="J26" i="1"/>
  <c r="I26" i="1"/>
  <c r="J25" i="1"/>
  <c r="I25" i="1"/>
  <c r="J8" i="1"/>
  <c r="J9" i="1"/>
  <c r="J10" i="1"/>
  <c r="J11" i="1"/>
  <c r="J12" i="1"/>
  <c r="J21" i="1"/>
  <c r="J7" i="1"/>
  <c r="I21" i="1"/>
  <c r="I12" i="1"/>
  <c r="I11" i="1"/>
  <c r="I10" i="1"/>
  <c r="I9" i="1"/>
  <c r="I8" i="1"/>
  <c r="I7" i="1"/>
  <c r="Q40" i="1" l="1"/>
  <c r="P40" i="1"/>
  <c r="O40" i="1"/>
  <c r="N40" i="1"/>
  <c r="M40" i="1"/>
  <c r="L40" i="1"/>
  <c r="K40" i="1"/>
  <c r="S39" i="1"/>
  <c r="R39" i="1"/>
  <c r="S34" i="1"/>
  <c r="R34" i="1"/>
  <c r="S33" i="1"/>
  <c r="R33" i="1"/>
  <c r="S32" i="1"/>
  <c r="R32" i="1"/>
  <c r="S31" i="1"/>
  <c r="R31" i="1"/>
  <c r="S30" i="1"/>
  <c r="R30" i="1"/>
  <c r="S29" i="1"/>
  <c r="R29" i="1"/>
  <c r="S28" i="1"/>
  <c r="R28" i="1"/>
  <c r="S27" i="1"/>
  <c r="R27" i="1"/>
  <c r="S26" i="1"/>
  <c r="R26" i="1"/>
  <c r="S25" i="1"/>
  <c r="R25" i="1"/>
  <c r="Q22" i="1"/>
  <c r="P22" i="1"/>
  <c r="O22" i="1"/>
  <c r="N22" i="1"/>
  <c r="M22" i="1"/>
  <c r="L22" i="1"/>
  <c r="K22" i="1"/>
  <c r="H22" i="1"/>
  <c r="G22" i="1"/>
  <c r="G42" i="1" s="1"/>
  <c r="S21" i="1"/>
  <c r="R21" i="1"/>
  <c r="S12" i="1"/>
  <c r="R12" i="1"/>
  <c r="S11" i="1"/>
  <c r="R11" i="1"/>
  <c r="S10" i="1"/>
  <c r="R10" i="1"/>
  <c r="S9" i="1"/>
  <c r="R9" i="1"/>
  <c r="S8" i="1"/>
  <c r="R8" i="1"/>
  <c r="S7" i="1"/>
  <c r="R7" i="1"/>
  <c r="J6" i="1"/>
  <c r="J22" i="1" s="1"/>
  <c r="I6" i="1"/>
  <c r="I22" i="1" s="1"/>
  <c r="M42" i="1" l="1"/>
  <c r="Q42" i="1"/>
  <c r="N42" i="1"/>
  <c r="K42" i="1"/>
  <c r="O42" i="1"/>
  <c r="L42" i="1"/>
  <c r="P42" i="1"/>
  <c r="J42" i="1"/>
  <c r="H42" i="1"/>
  <c r="I42" i="1"/>
  <c r="R22" i="1"/>
  <c r="R40" i="1"/>
  <c r="S40" i="1"/>
  <c r="S22" i="1"/>
  <c r="S42" i="1" l="1"/>
  <c r="R4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Angga WISNU</author>
  </authors>
  <commentList>
    <comment ref="G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Fill number of standby days on weekdays</t>
        </r>
      </text>
    </comment>
    <comment ref="H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Fill number of standby days on weekends and holidays</t>
        </r>
      </text>
    </comment>
    <comment ref="K7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Fill this column if any</t>
        </r>
      </text>
    </comment>
    <comment ref="L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Fill this column if any</t>
        </r>
      </text>
    </comment>
    <comment ref="M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Fill this column if any</t>
        </r>
      </text>
    </comment>
    <comment ref="N7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Fill this column if any</t>
        </r>
      </text>
    </comment>
    <comment ref="O7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Fill this column if any</t>
        </r>
      </text>
    </comment>
    <comment ref="P7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Fill this column if any</t>
        </r>
      </text>
    </comment>
    <comment ref="Q7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Fill this column if any</t>
        </r>
      </text>
    </comment>
  </commentList>
</comments>
</file>

<file path=xl/sharedStrings.xml><?xml version="1.0" encoding="utf-8"?>
<sst xmlns="http://schemas.openxmlformats.org/spreadsheetml/2006/main" count="37" uniqueCount="35">
  <si>
    <t>EMPLOYEE NAME</t>
  </si>
  <si>
    <t>:</t>
  </si>
  <si>
    <t>MONTH</t>
  </si>
  <si>
    <t>Number of hours for on Site Visit on</t>
  </si>
  <si>
    <t>Weekdays</t>
  </si>
  <si>
    <t>Call-Out Allowance</t>
  </si>
  <si>
    <t>Standby for 24 hours customers</t>
  </si>
  <si>
    <t>Case ID</t>
  </si>
  <si>
    <t>Date</t>
  </si>
  <si>
    <t>Activity</t>
  </si>
  <si>
    <t>Weekdays
(D1)</t>
  </si>
  <si>
    <t>Holiday          
(D2)</t>
  </si>
  <si>
    <t>Weekdays (H1)</t>
  </si>
  <si>
    <t>Holiday           (H2)</t>
  </si>
  <si>
    <t>Holidays</t>
  </si>
  <si>
    <t xml:space="preserve">Standby </t>
  </si>
  <si>
    <t>Total</t>
  </si>
  <si>
    <t xml:space="preserve">Non-Standby </t>
  </si>
  <si>
    <t>Total Standby + Non standby</t>
  </si>
  <si>
    <t>Approved by,</t>
  </si>
  <si>
    <t>Willy Setiawan</t>
  </si>
  <si>
    <t>Number of day
for standby on</t>
  </si>
  <si>
    <t>Number of hours
for standby on</t>
  </si>
  <si>
    <r>
      <t xml:space="preserve">Standby Allowance formulae: 
                         </t>
    </r>
    <r>
      <rPr>
        <sz val="9"/>
        <rFont val="HP Simplified"/>
        <family val="2"/>
      </rPr>
      <t>Weekdays: IDR4,850 x Total Hours; Public Holidays: IDR6,250 x Total Hours</t>
    </r>
    <r>
      <rPr>
        <b/>
        <sz val="9"/>
        <rFont val="HP Simplified"/>
        <family val="2"/>
      </rPr>
      <t xml:space="preserve">
Call-out Allowance formulae: 
                         </t>
    </r>
    <r>
      <rPr>
        <sz val="9"/>
        <rFont val="HP Simplified"/>
        <family val="2"/>
      </rPr>
      <t>Weekdays: 1st Hour : 1.5 x Hourly Rate; 2nd – 8th Hour: 2.0 x Hourly Rate; 9th Hour : 3.0 x Hourly Rate; 10th &amp; above: 4.0 x Hourly Rate</t>
    </r>
  </si>
  <si>
    <t>Weekdays
(HOUR)</t>
  </si>
  <si>
    <t>Holiday
(HOUR)</t>
  </si>
  <si>
    <t>1st 
(T1)</t>
  </si>
  <si>
    <t>2nd-8th 
(T2)</t>
  </si>
  <si>
    <t>9th
(T3)</t>
  </si>
  <si>
    <t>&gt; 9th
(T4)</t>
  </si>
  <si>
    <t>1st-7th
(T5)</t>
  </si>
  <si>
    <t>8th
(T6)</t>
  </si>
  <si>
    <t>&gt;8th
(T7)</t>
  </si>
  <si>
    <t>NC / C</t>
  </si>
  <si>
    <t>ANGGA WISNU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</si>
</sst>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_(* #,##0_);_(* \(#,##0\);_(* &quot;-&quot;??_);_(@_)"/>
    <numFmt numFmtId="165" formatCode="0_);\(0\)"/>
    <numFmt numFmtId="166" formatCode="dd\-mm\-yyyy;@"/>
    <numFmt numFmtId="167" formatCode="_(* #,##0.0_);_(* \(#,##0.0\);_(* &quot;-&quot;??_);_(@_)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name val="HP Simplified"/>
      <family val="2"/>
    </font>
    <font>
      <b/>
      <sz val="9"/>
      <name val="HP Simplified"/>
      <family val="2"/>
    </font>
    <font>
      <sz val="9"/>
      <color theme="1"/>
      <name val="Calibri"/>
      <family val="2"/>
      <scheme val="minor"/>
    </font>
    <font>
      <b/>
      <sz val="9"/>
      <color indexed="8"/>
      <name val="HP Simplified"/>
      <family val="2"/>
    </font>
    <font>
      <sz val="9"/>
      <color indexed="8"/>
      <name val="HP Simplified"/>
      <family val="2"/>
    </font>
    <font>
      <b/>
      <u/>
      <sz val="9"/>
      <name val="HP Simplified"/>
      <family val="2"/>
    </font>
    <font>
      <sz val="8.5"/>
      <name val="HP Simplified"/>
      <family val="2"/>
    </font>
    <font>
      <b/>
      <sz val="10"/>
      <color rgb="FF0070C0"/>
      <name val="HP Simplified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92D050"/>
        <bgColor indexed="9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indexed="9"/>
      </patternFill>
    </fill>
    <fill>
      <patternFill patternType="solid">
        <fgColor rgb="FF00B0F0"/>
        <bgColor indexed="9"/>
      </patternFill>
    </fill>
    <fill>
      <patternFill patternType="solid">
        <fgColor rgb="FF00B0F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2" fillId="0" borderId="0"/>
  </cellStyleXfs>
  <cellXfs count="142">
    <xf numFmtId="0" fontId="0" fillId="0" borderId="0" xfId="0"/>
    <xf numFmtId="0" fontId="4" fillId="0" borderId="0" xfId="0" applyFont="1" applyAlignment="1" applyProtection="1">
      <alignment horizontal="center"/>
    </xf>
    <xf numFmtId="43" fontId="4" fillId="0" borderId="0" xfId="1" applyFont="1" applyAlignment="1" applyProtection="1">
      <alignment horizontal="center"/>
    </xf>
    <xf numFmtId="43" fontId="4" fillId="0" borderId="0" xfId="1" applyNumberFormat="1" applyFont="1" applyAlignment="1" applyProtection="1">
      <alignment horizontal="center"/>
    </xf>
    <xf numFmtId="0" fontId="6" fillId="0" borderId="0" xfId="0" applyFont="1"/>
    <xf numFmtId="0" fontId="5" fillId="0" borderId="0" xfId="0" applyFont="1" applyAlignment="1" applyProtection="1">
      <alignment horizontal="center" vertical="center" wrapText="1"/>
    </xf>
    <xf numFmtId="0" fontId="5" fillId="0" borderId="0" xfId="0" applyFont="1" applyBorder="1" applyAlignment="1" applyProtection="1">
      <alignment horizontal="center" vertical="center" wrapText="1"/>
    </xf>
    <xf numFmtId="0" fontId="4" fillId="0" borderId="0" xfId="0" applyFont="1" applyProtection="1"/>
    <xf numFmtId="43" fontId="4" fillId="0" borderId="0" xfId="1" applyNumberFormat="1" applyFont="1" applyProtection="1"/>
    <xf numFmtId="0" fontId="9" fillId="0" borderId="0" xfId="0" applyFont="1" applyProtection="1"/>
    <xf numFmtId="0" fontId="5" fillId="0" borderId="0" xfId="0" applyFont="1" applyAlignment="1" applyProtection="1">
      <alignment horizontal="left"/>
    </xf>
    <xf numFmtId="0" fontId="4" fillId="0" borderId="0" xfId="0" applyFont="1" applyAlignment="1" applyProtection="1">
      <alignment wrapText="1"/>
    </xf>
    <xf numFmtId="0" fontId="10" fillId="0" borderId="1" xfId="0" applyFont="1" applyFill="1" applyBorder="1" applyAlignment="1" applyProtection="1">
      <alignment horizontal="center"/>
      <protection locked="0"/>
    </xf>
    <xf numFmtId="43" fontId="10" fillId="0" borderId="3" xfId="1" applyNumberFormat="1" applyFont="1" applyFill="1" applyBorder="1" applyAlignment="1" applyProtection="1">
      <alignment horizontal="center"/>
    </xf>
    <xf numFmtId="0" fontId="10" fillId="0" borderId="3" xfId="0" applyFont="1" applyFill="1" applyBorder="1" applyAlignment="1" applyProtection="1">
      <alignment horizontal="center"/>
      <protection locked="0"/>
    </xf>
    <xf numFmtId="1" fontId="10" fillId="0" borderId="3" xfId="1" applyNumberFormat="1" applyFont="1" applyFill="1" applyBorder="1" applyAlignment="1" applyProtection="1">
      <alignment horizontal="center"/>
      <protection locked="0"/>
    </xf>
    <xf numFmtId="1" fontId="10" fillId="0" borderId="3" xfId="0" applyNumberFormat="1" applyFont="1" applyFill="1" applyBorder="1" applyAlignment="1" applyProtection="1">
      <alignment horizontal="center"/>
      <protection locked="0"/>
    </xf>
    <xf numFmtId="49" fontId="10" fillId="0" borderId="3" xfId="2" applyNumberFormat="1" applyFont="1" applyBorder="1" applyAlignment="1" applyProtection="1">
      <alignment horizontal="center" vertical="center"/>
      <protection locked="0"/>
    </xf>
    <xf numFmtId="49" fontId="10" fillId="0" borderId="3" xfId="0" applyNumberFormat="1" applyFont="1" applyFill="1" applyBorder="1" applyAlignment="1" applyProtection="1">
      <alignment horizontal="left"/>
      <protection locked="0"/>
    </xf>
    <xf numFmtId="167" fontId="10" fillId="4" borderId="3" xfId="0" applyNumberFormat="1" applyFont="1" applyFill="1" applyBorder="1" applyAlignment="1" applyProtection="1">
      <alignment vertical="center"/>
    </xf>
    <xf numFmtId="167" fontId="10" fillId="4" borderId="2" xfId="0" applyNumberFormat="1" applyFont="1" applyFill="1" applyBorder="1" applyAlignment="1" applyProtection="1">
      <alignment vertical="center"/>
    </xf>
    <xf numFmtId="0" fontId="5" fillId="10" borderId="6" xfId="0" applyFont="1" applyFill="1" applyBorder="1" applyAlignment="1" applyProtection="1">
      <alignment horizontal="center"/>
    </xf>
    <xf numFmtId="2" fontId="5" fillId="10" borderId="6" xfId="0" applyNumberFormat="1" applyFont="1" applyFill="1" applyBorder="1" applyAlignment="1" applyProtection="1">
      <alignment horizontal="center"/>
    </xf>
    <xf numFmtId="2" fontId="5" fillId="10" borderId="7" xfId="0" applyNumberFormat="1" applyFont="1" applyFill="1" applyBorder="1" applyAlignment="1" applyProtection="1">
      <alignment horizontal="center"/>
    </xf>
    <xf numFmtId="0" fontId="10" fillId="0" borderId="13" xfId="0" applyFont="1" applyBorder="1" applyAlignment="1" applyProtection="1">
      <alignment horizontal="center"/>
    </xf>
    <xf numFmtId="43" fontId="10" fillId="0" borderId="14" xfId="1" applyNumberFormat="1" applyFont="1" applyFill="1" applyBorder="1" applyAlignment="1" applyProtection="1">
      <alignment horizontal="center"/>
    </xf>
    <xf numFmtId="164" fontId="4" fillId="3" borderId="11" xfId="1" applyNumberFormat="1" applyFont="1" applyFill="1" applyBorder="1" applyAlignment="1" applyProtection="1">
      <alignment horizontal="center"/>
    </xf>
    <xf numFmtId="164" fontId="4" fillId="3" borderId="16" xfId="1" applyNumberFormat="1" applyFont="1" applyFill="1" applyBorder="1" applyAlignment="1" applyProtection="1">
      <alignment horizontal="center"/>
    </xf>
    <xf numFmtId="0" fontId="5" fillId="3" borderId="11" xfId="0" applyFont="1" applyFill="1" applyBorder="1" applyAlignment="1" applyProtection="1">
      <alignment horizontal="left"/>
    </xf>
    <xf numFmtId="0" fontId="5" fillId="3" borderId="12" xfId="0" applyFont="1" applyFill="1" applyBorder="1" applyAlignment="1" applyProtection="1">
      <alignment horizontal="left"/>
    </xf>
    <xf numFmtId="0" fontId="4" fillId="0" borderId="17" xfId="0" applyFont="1" applyBorder="1" applyAlignment="1" applyProtection="1">
      <alignment horizontal="center"/>
    </xf>
    <xf numFmtId="0" fontId="4" fillId="6" borderId="18" xfId="0" applyFont="1" applyFill="1" applyBorder="1" applyProtection="1"/>
    <xf numFmtId="0" fontId="8" fillId="4" borderId="18" xfId="0" applyFont="1" applyFill="1" applyBorder="1" applyAlignment="1" applyProtection="1">
      <alignment horizontal="center" vertical="center"/>
    </xf>
    <xf numFmtId="0" fontId="4" fillId="0" borderId="18" xfId="0" applyFont="1" applyBorder="1" applyAlignment="1" applyProtection="1">
      <alignment horizontal="center"/>
    </xf>
    <xf numFmtId="164" fontId="4" fillId="0" borderId="18" xfId="1" applyNumberFormat="1" applyFont="1" applyBorder="1" applyAlignment="1" applyProtection="1">
      <alignment horizontal="center"/>
    </xf>
    <xf numFmtId="0" fontId="4" fillId="0" borderId="18" xfId="0" applyNumberFormat="1" applyFont="1" applyBorder="1" applyAlignment="1" applyProtection="1">
      <alignment horizontal="center"/>
    </xf>
    <xf numFmtId="165" fontId="4" fillId="0" borderId="18" xfId="1" applyNumberFormat="1" applyFont="1" applyBorder="1" applyAlignment="1" applyProtection="1">
      <alignment horizontal="center"/>
    </xf>
    <xf numFmtId="1" fontId="4" fillId="0" borderId="18" xfId="1" applyNumberFormat="1" applyFont="1" applyBorder="1" applyAlignment="1" applyProtection="1">
      <alignment horizontal="center"/>
    </xf>
    <xf numFmtId="1" fontId="4" fillId="0" borderId="18" xfId="0" applyNumberFormat="1" applyFont="1" applyBorder="1" applyAlignment="1" applyProtection="1">
      <alignment horizontal="center"/>
    </xf>
    <xf numFmtId="43" fontId="4" fillId="0" borderId="18" xfId="1" applyNumberFormat="1" applyFont="1" applyBorder="1" applyAlignment="1" applyProtection="1">
      <alignment horizontal="center"/>
    </xf>
    <xf numFmtId="43" fontId="4" fillId="0" borderId="19" xfId="1" applyNumberFormat="1" applyFont="1" applyBorder="1" applyAlignment="1" applyProtection="1">
      <alignment horizontal="center"/>
    </xf>
    <xf numFmtId="0" fontId="10" fillId="0" borderId="20" xfId="0" applyFont="1" applyBorder="1" applyAlignment="1" applyProtection="1">
      <alignment horizontal="center"/>
    </xf>
    <xf numFmtId="49" fontId="10" fillId="0" borderId="21" xfId="2" applyNumberFormat="1" applyFont="1" applyBorder="1" applyAlignment="1" applyProtection="1">
      <alignment horizontal="center" vertical="center"/>
      <protection locked="0"/>
    </xf>
    <xf numFmtId="167" fontId="10" fillId="4" borderId="21" xfId="0" applyNumberFormat="1" applyFont="1" applyFill="1" applyBorder="1" applyAlignment="1" applyProtection="1">
      <alignment vertical="center"/>
    </xf>
    <xf numFmtId="167" fontId="10" fillId="4" borderId="22" xfId="0" applyNumberFormat="1" applyFont="1" applyFill="1" applyBorder="1" applyAlignment="1" applyProtection="1">
      <alignment vertical="center"/>
    </xf>
    <xf numFmtId="0" fontId="10" fillId="0" borderId="21" xfId="0" applyFont="1" applyFill="1" applyBorder="1" applyAlignment="1" applyProtection="1">
      <alignment horizontal="center"/>
      <protection locked="0"/>
    </xf>
    <xf numFmtId="1" fontId="10" fillId="0" borderId="21" xfId="1" applyNumberFormat="1" applyFont="1" applyFill="1" applyBorder="1" applyAlignment="1" applyProtection="1">
      <alignment horizontal="center"/>
      <protection locked="0"/>
    </xf>
    <xf numFmtId="1" fontId="10" fillId="0" borderId="21" xfId="0" applyNumberFormat="1" applyFont="1" applyFill="1" applyBorder="1" applyAlignment="1" applyProtection="1">
      <alignment horizontal="center"/>
      <protection locked="0"/>
    </xf>
    <xf numFmtId="43" fontId="10" fillId="0" borderId="21" xfId="1" applyNumberFormat="1" applyFont="1" applyFill="1" applyBorder="1" applyAlignment="1" applyProtection="1">
      <alignment horizontal="center"/>
    </xf>
    <xf numFmtId="43" fontId="10" fillId="0" borderId="23" xfId="1" applyNumberFormat="1" applyFont="1" applyFill="1" applyBorder="1" applyAlignment="1" applyProtection="1">
      <alignment horizontal="center"/>
    </xf>
    <xf numFmtId="164" fontId="4" fillId="7" borderId="6" xfId="1" applyNumberFormat="1" applyFont="1" applyFill="1" applyBorder="1" applyAlignment="1" applyProtection="1">
      <alignment horizontal="center"/>
    </xf>
    <xf numFmtId="0" fontId="4" fillId="7" borderId="6" xfId="0" applyNumberFormat="1" applyFont="1" applyFill="1" applyBorder="1" applyAlignment="1" applyProtection="1">
      <alignment horizontal="center"/>
    </xf>
    <xf numFmtId="1" fontId="4" fillId="7" borderId="6" xfId="0" applyNumberFormat="1" applyFont="1" applyFill="1" applyBorder="1" applyAlignment="1" applyProtection="1">
      <alignment horizontal="center"/>
    </xf>
    <xf numFmtId="1" fontId="4" fillId="7" borderId="7" xfId="0" applyNumberFormat="1" applyFont="1" applyFill="1" applyBorder="1" applyAlignment="1" applyProtection="1">
      <alignment horizontal="center"/>
    </xf>
    <xf numFmtId="0" fontId="10" fillId="0" borderId="25" xfId="0" applyFont="1" applyBorder="1" applyAlignment="1" applyProtection="1">
      <alignment horizontal="center"/>
    </xf>
    <xf numFmtId="49" fontId="10" fillId="0" borderId="4" xfId="0" applyNumberFormat="1" applyFont="1" applyFill="1" applyBorder="1" applyAlignment="1" applyProtection="1">
      <alignment horizontal="left"/>
      <protection locked="0"/>
    </xf>
    <xf numFmtId="49" fontId="10" fillId="0" borderId="4" xfId="2" applyNumberFormat="1" applyFont="1" applyBorder="1" applyAlignment="1" applyProtection="1">
      <alignment horizontal="center" vertical="center"/>
      <protection locked="0"/>
    </xf>
    <xf numFmtId="167" fontId="10" fillId="4" borderId="4" xfId="0" applyNumberFormat="1" applyFont="1" applyFill="1" applyBorder="1" applyAlignment="1" applyProtection="1">
      <alignment vertical="center"/>
    </xf>
    <xf numFmtId="167" fontId="10" fillId="4" borderId="15" xfId="0" applyNumberFormat="1" applyFont="1" applyFill="1" applyBorder="1" applyAlignment="1" applyProtection="1">
      <alignment vertical="center"/>
    </xf>
    <xf numFmtId="0" fontId="10" fillId="0" borderId="4" xfId="0" applyFont="1" applyFill="1" applyBorder="1" applyAlignment="1" applyProtection="1">
      <alignment horizontal="center"/>
      <protection locked="0"/>
    </xf>
    <xf numFmtId="1" fontId="10" fillId="0" borderId="4" xfId="0" applyNumberFormat="1" applyFont="1" applyFill="1" applyBorder="1" applyAlignment="1" applyProtection="1">
      <alignment horizontal="center"/>
      <protection locked="0"/>
    </xf>
    <xf numFmtId="43" fontId="10" fillId="0" borderId="4" xfId="1" applyNumberFormat="1" applyFont="1" applyFill="1" applyBorder="1" applyAlignment="1" applyProtection="1">
      <alignment horizontal="center"/>
    </xf>
    <xf numFmtId="43" fontId="10" fillId="0" borderId="26" xfId="1" applyNumberFormat="1" applyFont="1" applyFill="1" applyBorder="1" applyAlignment="1" applyProtection="1">
      <alignment horizontal="center"/>
    </xf>
    <xf numFmtId="0" fontId="7" fillId="8" borderId="18" xfId="0" applyFont="1" applyFill="1" applyBorder="1" applyAlignment="1" applyProtection="1">
      <alignment vertical="center"/>
    </xf>
    <xf numFmtId="0" fontId="7" fillId="8" borderId="24" xfId="0" applyFont="1" applyFill="1" applyBorder="1" applyAlignment="1" applyProtection="1">
      <alignment vertical="center"/>
    </xf>
    <xf numFmtId="0" fontId="5" fillId="7" borderId="6" xfId="0" applyFont="1" applyFill="1" applyBorder="1" applyAlignment="1" applyProtection="1"/>
    <xf numFmtId="0" fontId="5" fillId="7" borderId="6" xfId="0" applyNumberFormat="1" applyFont="1" applyFill="1" applyBorder="1" applyAlignment="1" applyProtection="1">
      <alignment horizontal="center"/>
    </xf>
    <xf numFmtId="43" fontId="5" fillId="7" borderId="6" xfId="1" applyNumberFormat="1" applyFont="1" applyFill="1" applyBorder="1" applyAlignment="1" applyProtection="1">
      <alignment horizontal="center"/>
    </xf>
    <xf numFmtId="43" fontId="5" fillId="7" borderId="7" xfId="1" applyNumberFormat="1" applyFont="1" applyFill="1" applyBorder="1" applyAlignment="1" applyProtection="1">
      <alignment horizontal="center"/>
    </xf>
    <xf numFmtId="0" fontId="7" fillId="5" borderId="6" xfId="0" applyFont="1" applyFill="1" applyBorder="1" applyAlignment="1" applyProtection="1">
      <alignment vertical="center"/>
    </xf>
    <xf numFmtId="0" fontId="5" fillId="3" borderId="6" xfId="0" applyFont="1" applyFill="1" applyBorder="1" applyAlignment="1" applyProtection="1">
      <alignment horizontal="center"/>
    </xf>
    <xf numFmtId="0" fontId="5" fillId="3" borderId="6" xfId="0" applyNumberFormat="1" applyFont="1" applyFill="1" applyBorder="1" applyAlignment="1" applyProtection="1">
      <alignment horizontal="center"/>
    </xf>
    <xf numFmtId="43" fontId="5" fillId="3" borderId="6" xfId="1" applyNumberFormat="1" applyFont="1" applyFill="1" applyBorder="1" applyAlignment="1" applyProtection="1">
      <alignment horizontal="center"/>
    </xf>
    <xf numFmtId="43" fontId="5" fillId="3" borderId="7" xfId="1" applyNumberFormat="1" applyFont="1" applyFill="1" applyBorder="1" applyAlignment="1" applyProtection="1">
      <alignment horizontal="center"/>
    </xf>
    <xf numFmtId="0" fontId="5" fillId="2" borderId="6" xfId="0" applyFont="1" applyFill="1" applyBorder="1" applyAlignment="1" applyProtection="1">
      <alignment horizontal="center" vertical="center" wrapText="1"/>
    </xf>
    <xf numFmtId="0" fontId="5" fillId="2" borderId="27" xfId="0" applyFont="1" applyFill="1" applyBorder="1" applyAlignment="1" applyProtection="1">
      <alignment horizontal="center" vertical="center" wrapText="1"/>
    </xf>
    <xf numFmtId="0" fontId="5" fillId="2" borderId="28" xfId="0" applyFont="1" applyFill="1" applyBorder="1" applyAlignment="1" applyProtection="1">
      <alignment horizontal="center" vertical="center" wrapText="1"/>
    </xf>
    <xf numFmtId="43" fontId="5" fillId="2" borderId="27" xfId="1" applyFont="1" applyFill="1" applyBorder="1" applyAlignment="1" applyProtection="1">
      <alignment horizontal="center" vertical="center" wrapText="1"/>
    </xf>
    <xf numFmtId="43" fontId="5" fillId="2" borderId="27" xfId="1" applyNumberFormat="1" applyFont="1" applyFill="1" applyBorder="1" applyAlignment="1" applyProtection="1">
      <alignment horizontal="center" vertical="center" wrapText="1"/>
    </xf>
    <xf numFmtId="43" fontId="5" fillId="2" borderId="29" xfId="1" applyNumberFormat="1" applyFont="1" applyFill="1" applyBorder="1" applyAlignment="1" applyProtection="1">
      <alignment horizontal="center" vertical="center" wrapText="1"/>
    </xf>
    <xf numFmtId="0" fontId="7" fillId="0" borderId="18" xfId="0" applyFont="1" applyFill="1" applyBorder="1" applyAlignment="1" applyProtection="1">
      <alignment horizontal="center" vertical="center"/>
    </xf>
    <xf numFmtId="0" fontId="5" fillId="0" borderId="18" xfId="0" applyFont="1" applyFill="1" applyBorder="1" applyAlignment="1" applyProtection="1">
      <alignment horizontal="center"/>
    </xf>
    <xf numFmtId="0" fontId="5" fillId="0" borderId="18" xfId="0" applyNumberFormat="1" applyFont="1" applyFill="1" applyBorder="1" applyAlignment="1" applyProtection="1">
      <alignment horizontal="center"/>
    </xf>
    <xf numFmtId="43" fontId="5" fillId="0" borderId="18" xfId="1" applyNumberFormat="1" applyFont="1" applyFill="1" applyBorder="1" applyAlignment="1" applyProtection="1">
      <alignment horizontal="center"/>
    </xf>
    <xf numFmtId="43" fontId="5" fillId="0" borderId="19" xfId="1" applyNumberFormat="1" applyFont="1" applyFill="1" applyBorder="1" applyAlignment="1" applyProtection="1">
      <alignment horizontal="center"/>
    </xf>
    <xf numFmtId="0" fontId="5" fillId="0" borderId="8" xfId="0" applyFont="1" applyBorder="1" applyAlignment="1" applyProtection="1">
      <alignment horizontal="left" vertical="center" wrapText="1"/>
    </xf>
    <xf numFmtId="0" fontId="4" fillId="0" borderId="9" xfId="2" applyFont="1" applyBorder="1" applyAlignment="1" applyProtection="1">
      <alignment horizontal="left" vertical="center"/>
    </xf>
    <xf numFmtId="0" fontId="5" fillId="0" borderId="32" xfId="0" applyFont="1" applyBorder="1" applyAlignment="1" applyProtection="1">
      <alignment horizontal="left" vertical="center" wrapText="1"/>
    </xf>
    <xf numFmtId="0" fontId="4" fillId="0" borderId="33" xfId="2" applyFont="1" applyBorder="1" applyAlignment="1" applyProtection="1">
      <alignment horizontal="left" vertical="center"/>
    </xf>
    <xf numFmtId="1" fontId="10" fillId="0" borderId="4" xfId="1" applyNumberFormat="1" applyFont="1" applyFill="1" applyBorder="1" applyAlignment="1" applyProtection="1">
      <alignment horizontal="center"/>
      <protection locked="0"/>
    </xf>
    <xf numFmtId="166" fontId="10" fillId="0" borderId="3" xfId="2" applyNumberFormat="1" applyFont="1" applyBorder="1" applyAlignment="1" applyProtection="1">
      <alignment horizontal="left" vertical="center"/>
      <protection locked="0"/>
    </xf>
    <xf numFmtId="166" fontId="10" fillId="0" borderId="4" xfId="2" applyNumberFormat="1" applyFont="1" applyBorder="1" applyAlignment="1" applyProtection="1">
      <alignment horizontal="left" vertical="center"/>
      <protection locked="0"/>
    </xf>
    <xf numFmtId="166" fontId="10" fillId="0" borderId="21" xfId="2" applyNumberFormat="1" applyFont="1" applyBorder="1" applyAlignment="1" applyProtection="1">
      <alignment horizontal="left" vertical="center"/>
      <protection locked="0"/>
    </xf>
    <xf numFmtId="166" fontId="10" fillId="4" borderId="3" xfId="0" applyNumberFormat="1" applyFont="1" applyFill="1" applyBorder="1" applyAlignment="1" applyProtection="1">
      <alignment horizontal="center" vertical="center"/>
      <protection locked="0"/>
    </xf>
    <xf numFmtId="166" fontId="10" fillId="4" borderId="4" xfId="0" applyNumberFormat="1" applyFont="1" applyFill="1" applyBorder="1" applyAlignment="1" applyProtection="1">
      <alignment horizontal="center" vertical="center"/>
      <protection locked="0"/>
    </xf>
    <xf numFmtId="166" fontId="10" fillId="4" borderId="21" xfId="0" applyNumberFormat="1" applyFont="1" applyFill="1" applyBorder="1" applyAlignment="1" applyProtection="1">
      <alignment horizontal="center" vertical="center"/>
      <protection locked="0"/>
    </xf>
    <xf numFmtId="49" fontId="10" fillId="4" borderId="3" xfId="0" applyNumberFormat="1" applyFont="1" applyFill="1" applyBorder="1" applyAlignment="1" applyProtection="1">
      <alignment vertical="center"/>
    </xf>
    <xf numFmtId="49" fontId="10" fillId="4" borderId="3" xfId="0" applyNumberFormat="1" applyFont="1" applyFill="1" applyBorder="1" applyAlignment="1" applyProtection="1">
      <alignment horizontal="left" vertical="center"/>
    </xf>
    <xf numFmtId="49" fontId="10" fillId="4" borderId="4" xfId="0" applyNumberFormat="1" applyFont="1" applyFill="1" applyBorder="1" applyAlignment="1" applyProtection="1">
      <alignment horizontal="left" vertical="center"/>
    </xf>
    <xf numFmtId="49" fontId="10" fillId="4" borderId="4" xfId="0" applyNumberFormat="1" applyFont="1" applyFill="1" applyBorder="1" applyAlignment="1" applyProtection="1">
      <alignment vertical="center"/>
    </xf>
    <xf numFmtId="49" fontId="10" fillId="4" borderId="21" xfId="0" applyNumberFormat="1" applyFont="1" applyFill="1" applyBorder="1" applyAlignment="1" applyProtection="1">
      <alignment vertical="center"/>
    </xf>
    <xf numFmtId="0" fontId="6" fillId="0" borderId="0" xfId="0" applyFont="1" applyProtection="1"/>
    <xf numFmtId="0" fontId="5" fillId="3" borderId="11" xfId="0" applyFont="1" applyFill="1" applyBorder="1" applyAlignment="1" applyProtection="1">
      <alignment horizontal="center"/>
      <protection locked="0"/>
    </xf>
    <xf numFmtId="49" fontId="10" fillId="0" borderId="3" xfId="2" applyNumberFormat="1" applyFont="1" applyFill="1" applyBorder="1" applyAlignment="1" applyProtection="1">
      <alignment horizontal="center" vertical="center"/>
      <protection locked="0"/>
    </xf>
    <xf numFmtId="166" fontId="10" fillId="0" borderId="3" xfId="2" applyNumberFormat="1" applyFont="1" applyFill="1" applyBorder="1" applyAlignment="1" applyProtection="1">
      <alignment horizontal="left" vertical="center"/>
      <protection locked="0"/>
    </xf>
    <xf numFmtId="166" fontId="10" fillId="0" borderId="3" xfId="0" applyNumberFormat="1" applyFont="1" applyFill="1" applyBorder="1" applyAlignment="1" applyProtection="1">
      <alignment horizontal="center" vertical="center"/>
      <protection locked="0"/>
    </xf>
    <xf numFmtId="49" fontId="10" fillId="0" borderId="3" xfId="0" applyNumberFormat="1" applyFont="1" applyFill="1" applyBorder="1" applyAlignment="1" applyProtection="1">
      <alignment vertical="center"/>
    </xf>
    <xf numFmtId="167" fontId="10" fillId="0" borderId="3" xfId="0" applyNumberFormat="1" applyFont="1" applyFill="1" applyBorder="1" applyAlignment="1" applyProtection="1">
      <alignment vertical="center"/>
    </xf>
    <xf numFmtId="167" fontId="10" fillId="0" borderId="2" xfId="0" applyNumberFormat="1" applyFont="1" applyFill="1" applyBorder="1" applyAlignment="1" applyProtection="1">
      <alignment vertical="center"/>
    </xf>
    <xf numFmtId="49" fontId="10" fillId="0" borderId="4" xfId="2" applyNumberFormat="1" applyFont="1" applyFill="1" applyBorder="1" applyAlignment="1" applyProtection="1">
      <alignment horizontal="center" vertical="center"/>
      <protection locked="0"/>
    </xf>
    <xf numFmtId="166" fontId="10" fillId="0" borderId="4" xfId="2" applyNumberFormat="1" applyFont="1" applyFill="1" applyBorder="1" applyAlignment="1" applyProtection="1">
      <alignment horizontal="left" vertical="center"/>
      <protection locked="0"/>
    </xf>
    <xf numFmtId="166" fontId="10" fillId="0" borderId="4" xfId="0" applyNumberFormat="1" applyFont="1" applyFill="1" applyBorder="1" applyAlignment="1" applyProtection="1">
      <alignment horizontal="center" vertical="center"/>
      <protection locked="0"/>
    </xf>
    <xf numFmtId="49" fontId="10" fillId="0" borderId="21" xfId="0" applyNumberFormat="1" applyFont="1" applyFill="1" applyBorder="1" applyAlignment="1" applyProtection="1">
      <alignment horizontal="left"/>
      <protection locked="0"/>
    </xf>
    <xf numFmtId="49" fontId="11" fillId="0" borderId="9" xfId="2" applyNumberFormat="1" applyFont="1" applyBorder="1" applyAlignment="1" applyProtection="1">
      <alignment horizontal="left" vertical="center"/>
      <protection locked="0"/>
    </xf>
    <xf numFmtId="49" fontId="11" fillId="0" borderId="31" xfId="2" applyNumberFormat="1" applyFont="1" applyBorder="1" applyAlignment="1" applyProtection="1">
      <alignment horizontal="left" vertical="center"/>
      <protection locked="0"/>
    </xf>
    <xf numFmtId="49" fontId="11" fillId="0" borderId="33" xfId="2" applyNumberFormat="1" applyFont="1" applyBorder="1" applyAlignment="1" applyProtection="1">
      <alignment horizontal="left" vertical="center"/>
      <protection locked="0"/>
    </xf>
    <xf numFmtId="49" fontId="11" fillId="0" borderId="34" xfId="2" applyNumberFormat="1" applyFont="1" applyBorder="1" applyAlignment="1" applyProtection="1">
      <alignment horizontal="left" vertical="center"/>
      <protection locked="0"/>
    </xf>
    <xf numFmtId="0" fontId="7" fillId="9" borderId="5" xfId="0" applyFont="1" applyFill="1" applyBorder="1" applyAlignment="1" applyProtection="1">
      <alignment horizontal="center" vertical="center"/>
    </xf>
    <xf numFmtId="0" fontId="7" fillId="9" borderId="6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 wrapText="1"/>
    </xf>
    <xf numFmtId="0" fontId="7" fillId="8" borderId="17" xfId="0" applyFont="1" applyFill="1" applyBorder="1" applyAlignment="1" applyProtection="1">
      <alignment horizontal="center" vertical="center"/>
    </xf>
    <xf numFmtId="0" fontId="7" fillId="8" borderId="18" xfId="0" applyFont="1" applyFill="1" applyBorder="1" applyAlignment="1" applyProtection="1">
      <alignment horizontal="center" vertical="center"/>
    </xf>
    <xf numFmtId="0" fontId="7" fillId="8" borderId="24" xfId="0" applyFont="1" applyFill="1" applyBorder="1" applyAlignment="1" applyProtection="1">
      <alignment horizontal="center" vertical="center"/>
    </xf>
    <xf numFmtId="0" fontId="5" fillId="2" borderId="17" xfId="0" applyFont="1" applyFill="1" applyBorder="1" applyAlignment="1" applyProtection="1">
      <alignment horizontal="center" vertical="center" wrapText="1"/>
    </xf>
    <xf numFmtId="0" fontId="5" fillId="2" borderId="24" xfId="0" applyFont="1" applyFill="1" applyBorder="1" applyAlignment="1" applyProtection="1">
      <alignment horizontal="center" vertical="center" wrapText="1"/>
    </xf>
    <xf numFmtId="0" fontId="5" fillId="3" borderId="8" xfId="0" applyFont="1" applyFill="1" applyBorder="1" applyAlignment="1" applyProtection="1">
      <alignment horizontal="center"/>
    </xf>
    <xf numFmtId="0" fontId="5" fillId="3" borderId="9" xfId="0" applyFont="1" applyFill="1" applyBorder="1" applyAlignment="1" applyProtection="1">
      <alignment horizontal="center"/>
    </xf>
    <xf numFmtId="0" fontId="5" fillId="3" borderId="10" xfId="0" applyFont="1" applyFill="1" applyBorder="1" applyAlignment="1" applyProtection="1">
      <alignment horizontal="center"/>
    </xf>
    <xf numFmtId="0" fontId="5" fillId="7" borderId="17" xfId="0" applyFont="1" applyFill="1" applyBorder="1" applyAlignment="1" applyProtection="1">
      <alignment horizontal="center"/>
    </xf>
    <xf numFmtId="0" fontId="5" fillId="7" borderId="18" xfId="0" applyFont="1" applyFill="1" applyBorder="1" applyAlignment="1" applyProtection="1">
      <alignment horizontal="center"/>
    </xf>
    <xf numFmtId="0" fontId="4" fillId="7" borderId="18" xfId="0" applyFont="1" applyFill="1" applyBorder="1" applyAlignment="1" applyProtection="1">
      <alignment horizontal="center"/>
    </xf>
    <xf numFmtId="0" fontId="4" fillId="7" borderId="24" xfId="0" applyFont="1" applyFill="1" applyBorder="1" applyAlignment="1" applyProtection="1">
      <alignment horizontal="center"/>
    </xf>
    <xf numFmtId="0" fontId="7" fillId="5" borderId="17" xfId="0" applyFont="1" applyFill="1" applyBorder="1" applyAlignment="1" applyProtection="1">
      <alignment horizontal="center" vertical="center"/>
    </xf>
    <xf numFmtId="0" fontId="7" fillId="5" borderId="18" xfId="0" applyFont="1" applyFill="1" applyBorder="1" applyAlignment="1" applyProtection="1">
      <alignment horizontal="center" vertical="center"/>
    </xf>
    <xf numFmtId="0" fontId="7" fillId="5" borderId="24" xfId="0" applyFont="1" applyFill="1" applyBorder="1" applyAlignment="1" applyProtection="1">
      <alignment horizontal="center" vertical="center"/>
    </xf>
    <xf numFmtId="0" fontId="5" fillId="2" borderId="30" xfId="0" applyFont="1" applyFill="1" applyBorder="1" applyAlignment="1" applyProtection="1">
      <alignment horizontal="center" vertical="center" wrapText="1"/>
    </xf>
    <xf numFmtId="0" fontId="5" fillId="2" borderId="11" xfId="0" applyFont="1" applyFill="1" applyBorder="1" applyAlignment="1" applyProtection="1">
      <alignment horizontal="center" vertical="center" wrapText="1"/>
    </xf>
    <xf numFmtId="0" fontId="5" fillId="2" borderId="12" xfId="0" applyFont="1" applyFill="1" applyBorder="1" applyAlignment="1" applyProtection="1">
      <alignment horizontal="center" vertical="center" wrapText="1"/>
    </xf>
    <xf numFmtId="0" fontId="5" fillId="2" borderId="16" xfId="0" applyFont="1" applyFill="1" applyBorder="1" applyAlignment="1" applyProtection="1">
      <alignment horizontal="center" vertical="center" wrapText="1"/>
    </xf>
    <xf numFmtId="0" fontId="5" fillId="2" borderId="21" xfId="0" applyFont="1" applyFill="1" applyBorder="1" applyAlignment="1" applyProtection="1">
      <alignment horizontal="center" vertical="center" wrapText="1"/>
    </xf>
    <xf numFmtId="43" fontId="5" fillId="2" borderId="21" xfId="1" applyNumberFormat="1" applyFont="1" applyFill="1" applyBorder="1" applyAlignment="1" applyProtection="1">
      <alignment horizontal="center" vertical="center" wrapText="1"/>
    </xf>
    <xf numFmtId="43" fontId="5" fillId="2" borderId="23" xfId="1" applyNumberFormat="1" applyFont="1" applyFill="1" applyBorder="1" applyAlignment="1" applyProtection="1">
      <alignment horizontal="center" vertical="center" wrapText="1"/>
    </xf>
  </cellXfs>
  <cellStyles count="3">
    <cellStyle name="Comma" xfId="1" builtinId="3"/>
    <cellStyle name="Normal" xfId="0" builtinId="0"/>
    <cellStyle name="Normal_Sheet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49"/>
  <sheetViews>
    <sheetView tabSelected="1" showWhiteSpace="0" zoomScaleNormal="100" workbookViewId="0">
      <pane ySplit="5" topLeftCell="A6" activePane="bottomLeft" state="frozen"/>
      <selection pane="bottomLeft" activeCell="B7" sqref="B7"/>
    </sheetView>
  </sheetViews>
  <sheetFormatPr defaultColWidth="8.85546875" defaultRowHeight="12" x14ac:dyDescent="0.2"/>
  <cols>
    <col min="1" max="1" width="3.7109375" style="4" customWidth="1"/>
    <col min="2" max="2" width="12.7109375" style="4" customWidth="1"/>
    <col min="3" max="3" width="13.28515625" style="4" customWidth="1"/>
    <col min="4" max="4" width="6" style="4" customWidth="1"/>
    <col min="5" max="5" width="35.42578125" style="4" customWidth="1"/>
    <col min="6" max="6" width="9.7109375" style="4" customWidth="1"/>
    <col min="7" max="10" width="8.28515625" style="4" customWidth="1"/>
    <col min="11" max="17" width="6.7109375" style="4" customWidth="1"/>
    <col min="18" max="19" width="8.7109375" style="4" customWidth="1"/>
    <col min="20" max="16384" width="8.85546875" style="4"/>
  </cols>
  <sheetData>
    <row r="1" spans="1:19" ht="12.75" thickBot="1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</row>
    <row r="2" spans="1:19" ht="12" customHeight="1" thickBot="1" x14ac:dyDescent="0.25">
      <c r="A2" s="1"/>
      <c r="B2" s="85" t="s">
        <v>0</v>
      </c>
      <c r="C2" s="86" t="s">
        <v>1</v>
      </c>
      <c r="D2" s="113" t="s">
        <v>34</v>
      </c>
      <c r="E2" s="113"/>
      <c r="F2" s="114"/>
      <c r="G2" s="1"/>
      <c r="H2" s="1"/>
      <c r="I2" s="1"/>
      <c r="J2" s="1"/>
      <c r="K2" s="1"/>
      <c r="L2" s="1"/>
      <c r="M2" s="1"/>
      <c r="N2" s="2"/>
      <c r="O2" s="2"/>
      <c r="P2" s="1"/>
      <c r="Q2" s="2"/>
      <c r="R2" s="3"/>
      <c r="S2" s="3"/>
    </row>
    <row r="3" spans="1:19" ht="15" customHeight="1" thickBot="1" x14ac:dyDescent="0.25">
      <c r="A3" s="5"/>
      <c r="B3" s="87" t="s">
        <v>2</v>
      </c>
      <c r="C3" s="88" t="s">
        <v>1</v>
      </c>
      <c r="D3" s="115"/>
      <c r="E3" s="115"/>
      <c r="F3" s="116"/>
      <c r="G3" s="5"/>
      <c r="H3" s="5"/>
      <c r="I3" s="5"/>
      <c r="J3" s="5"/>
      <c r="K3" s="135" t="s">
        <v>3</v>
      </c>
      <c r="L3" s="136"/>
      <c r="M3" s="136"/>
      <c r="N3" s="136"/>
      <c r="O3" s="136"/>
      <c r="P3" s="136"/>
      <c r="Q3" s="136"/>
      <c r="R3" s="136"/>
      <c r="S3" s="137"/>
    </row>
    <row r="4" spans="1:19" ht="22.15" customHeight="1" thickBot="1" x14ac:dyDescent="0.25">
      <c r="A4" s="5"/>
      <c r="B4" s="6"/>
      <c r="C4" s="6"/>
      <c r="D4" s="6"/>
      <c r="E4" s="6"/>
      <c r="F4" s="6"/>
      <c r="G4" s="135" t="s">
        <v>21</v>
      </c>
      <c r="H4" s="136"/>
      <c r="I4" s="136" t="s">
        <v>22</v>
      </c>
      <c r="J4" s="138"/>
      <c r="K4" s="139" t="s">
        <v>24</v>
      </c>
      <c r="L4" s="139"/>
      <c r="M4" s="139"/>
      <c r="N4" s="139"/>
      <c r="O4" s="139" t="s">
        <v>25</v>
      </c>
      <c r="P4" s="139"/>
      <c r="Q4" s="139"/>
      <c r="R4" s="140" t="s">
        <v>5</v>
      </c>
      <c r="S4" s="141"/>
    </row>
    <row r="5" spans="1:19" ht="22.15" customHeight="1" thickBot="1" x14ac:dyDescent="0.25">
      <c r="A5" s="123" t="s">
        <v>6</v>
      </c>
      <c r="B5" s="124"/>
      <c r="C5" s="74" t="s">
        <v>7</v>
      </c>
      <c r="D5" s="74" t="s">
        <v>33</v>
      </c>
      <c r="E5" s="74" t="s">
        <v>9</v>
      </c>
      <c r="F5" s="74" t="s">
        <v>8</v>
      </c>
      <c r="G5" s="75" t="s">
        <v>10</v>
      </c>
      <c r="H5" s="75" t="s">
        <v>11</v>
      </c>
      <c r="I5" s="75" t="s">
        <v>12</v>
      </c>
      <c r="J5" s="76" t="s">
        <v>13</v>
      </c>
      <c r="K5" s="75" t="s">
        <v>26</v>
      </c>
      <c r="L5" s="75" t="s">
        <v>27</v>
      </c>
      <c r="M5" s="75" t="s">
        <v>28</v>
      </c>
      <c r="N5" s="77" t="s">
        <v>29</v>
      </c>
      <c r="O5" s="77" t="s">
        <v>30</v>
      </c>
      <c r="P5" s="75" t="s">
        <v>31</v>
      </c>
      <c r="Q5" s="77" t="s">
        <v>32</v>
      </c>
      <c r="R5" s="78" t="s">
        <v>4</v>
      </c>
      <c r="S5" s="79" t="s">
        <v>14</v>
      </c>
    </row>
    <row r="6" spans="1:19" ht="13.5" x14ac:dyDescent="0.25">
      <c r="A6" s="125" t="s">
        <v>15</v>
      </c>
      <c r="B6" s="126"/>
      <c r="C6" s="126"/>
      <c r="D6" s="126"/>
      <c r="E6" s="126"/>
      <c r="F6" s="127"/>
      <c r="G6" s="102"/>
      <c r="H6" s="102"/>
      <c r="I6" s="26">
        <f>G6*15</f>
        <v>0</v>
      </c>
      <c r="J6" s="27">
        <f>IF(H6="void",0,24*H6)-(O6+P6+Q6)</f>
        <v>0</v>
      </c>
      <c r="K6" s="28"/>
      <c r="L6" s="28"/>
      <c r="M6" s="28"/>
      <c r="N6" s="28"/>
      <c r="O6" s="28"/>
      <c r="P6" s="28"/>
      <c r="Q6" s="28"/>
      <c r="R6" s="28"/>
      <c r="S6" s="29"/>
    </row>
    <row r="7" spans="1:19" x14ac:dyDescent="0.2">
      <c r="A7" s="24">
        <v>1</v>
      </c>
      <c r="B7" s="18"/>
      <c r="C7" s="17"/>
      <c r="D7" s="17"/>
      <c r="E7" s="90"/>
      <c r="F7" s="93"/>
      <c r="G7" s="96"/>
      <c r="H7" s="96"/>
      <c r="I7" s="19">
        <f>SUM(K7:N7)</f>
        <v>0</v>
      </c>
      <c r="J7" s="20">
        <f>SUM(O7:Q7)</f>
        <v>0</v>
      </c>
      <c r="K7" s="12"/>
      <c r="L7" s="12"/>
      <c r="M7" s="12"/>
      <c r="N7" s="12"/>
      <c r="O7" s="12"/>
      <c r="P7" s="12"/>
      <c r="Q7" s="12"/>
      <c r="R7" s="13">
        <f>SUM(K7:N7)</f>
        <v>0</v>
      </c>
      <c r="S7" s="25">
        <f>SUM(O7:Q7)</f>
        <v>0</v>
      </c>
    </row>
    <row r="8" spans="1:19" x14ac:dyDescent="0.2">
      <c r="A8" s="24">
        <v>2</v>
      </c>
      <c r="B8" s="18"/>
      <c r="C8" s="17"/>
      <c r="D8" s="17"/>
      <c r="E8" s="90"/>
      <c r="F8" s="93"/>
      <c r="G8" s="96"/>
      <c r="H8" s="96"/>
      <c r="I8" s="19">
        <f t="shared" ref="I8:I21" si="0">SUM(K8:N8)</f>
        <v>0</v>
      </c>
      <c r="J8" s="20">
        <f t="shared" ref="J8:J21" si="1">SUM(O8:Q8)</f>
        <v>0</v>
      </c>
      <c r="K8" s="14"/>
      <c r="L8" s="14"/>
      <c r="M8" s="14"/>
      <c r="N8" s="14"/>
      <c r="O8" s="15"/>
      <c r="P8" s="16"/>
      <c r="Q8" s="14"/>
      <c r="R8" s="13">
        <f t="shared" ref="R8:R21" si="2">SUM(K8:N8)</f>
        <v>0</v>
      </c>
      <c r="S8" s="25">
        <f t="shared" ref="S8:S21" si="3">SUM(O8:Q8)</f>
        <v>0</v>
      </c>
    </row>
    <row r="9" spans="1:19" x14ac:dyDescent="0.2">
      <c r="A9" s="24">
        <v>3</v>
      </c>
      <c r="B9" s="18"/>
      <c r="C9" s="17"/>
      <c r="D9" s="17"/>
      <c r="E9" s="90"/>
      <c r="F9" s="93"/>
      <c r="G9" s="96"/>
      <c r="H9" s="96"/>
      <c r="I9" s="19">
        <f t="shared" si="0"/>
        <v>0</v>
      </c>
      <c r="J9" s="20">
        <f t="shared" si="1"/>
        <v>0</v>
      </c>
      <c r="K9" s="14"/>
      <c r="L9" s="14"/>
      <c r="M9" s="14"/>
      <c r="N9" s="14"/>
      <c r="O9" s="15"/>
      <c r="P9" s="16"/>
      <c r="Q9" s="14"/>
      <c r="R9" s="13">
        <f t="shared" si="2"/>
        <v>0</v>
      </c>
      <c r="S9" s="25">
        <f t="shared" si="3"/>
        <v>0</v>
      </c>
    </row>
    <row r="10" spans="1:19" x14ac:dyDescent="0.2">
      <c r="A10" s="24">
        <v>4</v>
      </c>
      <c r="B10" s="18"/>
      <c r="C10" s="17"/>
      <c r="D10" s="17"/>
      <c r="E10" s="90"/>
      <c r="F10" s="93"/>
      <c r="G10" s="96"/>
      <c r="H10" s="96"/>
      <c r="I10" s="19">
        <f t="shared" si="0"/>
        <v>0</v>
      </c>
      <c r="J10" s="20">
        <f t="shared" si="1"/>
        <v>0</v>
      </c>
      <c r="K10" s="14"/>
      <c r="L10" s="14"/>
      <c r="M10" s="14"/>
      <c r="N10" s="14"/>
      <c r="O10" s="15"/>
      <c r="P10" s="16"/>
      <c r="Q10" s="14"/>
      <c r="R10" s="13">
        <f t="shared" si="2"/>
        <v>0</v>
      </c>
      <c r="S10" s="25">
        <f t="shared" si="3"/>
        <v>0</v>
      </c>
    </row>
    <row r="11" spans="1:19" x14ac:dyDescent="0.2">
      <c r="A11" s="24">
        <v>5</v>
      </c>
      <c r="B11" s="18"/>
      <c r="C11" s="17"/>
      <c r="D11" s="17"/>
      <c r="E11" s="90"/>
      <c r="F11" s="93"/>
      <c r="G11" s="96"/>
      <c r="H11" s="96"/>
      <c r="I11" s="19">
        <f t="shared" si="0"/>
        <v>0</v>
      </c>
      <c r="J11" s="20">
        <f t="shared" si="1"/>
        <v>0</v>
      </c>
      <c r="K11" s="14"/>
      <c r="L11" s="14"/>
      <c r="M11" s="14"/>
      <c r="N11" s="14"/>
      <c r="O11" s="15"/>
      <c r="P11" s="16"/>
      <c r="Q11" s="14"/>
      <c r="R11" s="13">
        <f t="shared" si="2"/>
        <v>0</v>
      </c>
      <c r="S11" s="25">
        <f t="shared" si="3"/>
        <v>0</v>
      </c>
    </row>
    <row r="12" spans="1:19" x14ac:dyDescent="0.2">
      <c r="A12" s="24">
        <v>6</v>
      </c>
      <c r="B12" s="18"/>
      <c r="C12" s="17"/>
      <c r="D12" s="17"/>
      <c r="E12" s="90"/>
      <c r="F12" s="93"/>
      <c r="G12" s="96"/>
      <c r="H12" s="96"/>
      <c r="I12" s="19">
        <f t="shared" si="0"/>
        <v>0</v>
      </c>
      <c r="J12" s="20">
        <f t="shared" si="1"/>
        <v>0</v>
      </c>
      <c r="K12" s="14"/>
      <c r="L12" s="14"/>
      <c r="M12" s="14"/>
      <c r="N12" s="14"/>
      <c r="O12" s="14"/>
      <c r="P12" s="16"/>
      <c r="Q12" s="15"/>
      <c r="R12" s="13">
        <f t="shared" si="2"/>
        <v>0</v>
      </c>
      <c r="S12" s="25">
        <f t="shared" si="3"/>
        <v>0</v>
      </c>
    </row>
    <row r="13" spans="1:19" x14ac:dyDescent="0.2">
      <c r="A13" s="24">
        <v>7</v>
      </c>
      <c r="B13" s="18"/>
      <c r="C13" s="17"/>
      <c r="D13" s="17"/>
      <c r="E13" s="90"/>
      <c r="F13" s="93"/>
      <c r="G13" s="97"/>
      <c r="H13" s="97"/>
      <c r="I13" s="19">
        <f t="shared" ref="I13:I20" si="4">SUM(K13:N13)</f>
        <v>0</v>
      </c>
      <c r="J13" s="20">
        <f t="shared" ref="J13:J20" si="5">SUM(O13:Q13)</f>
        <v>0</v>
      </c>
      <c r="K13" s="14"/>
      <c r="L13" s="14"/>
      <c r="M13" s="14"/>
      <c r="N13" s="14"/>
      <c r="O13" s="14"/>
      <c r="P13" s="16"/>
      <c r="Q13" s="15"/>
      <c r="R13" s="13">
        <f t="shared" ref="R13:R20" si="6">SUM(K13:N13)</f>
        <v>0</v>
      </c>
      <c r="S13" s="25">
        <f t="shared" ref="S13:S20" si="7">SUM(O13:Q13)</f>
        <v>0</v>
      </c>
    </row>
    <row r="14" spans="1:19" x14ac:dyDescent="0.2">
      <c r="A14" s="24">
        <v>8</v>
      </c>
      <c r="B14" s="18"/>
      <c r="C14" s="17"/>
      <c r="D14" s="17"/>
      <c r="E14" s="90"/>
      <c r="F14" s="93"/>
      <c r="G14" s="97"/>
      <c r="H14" s="97"/>
      <c r="I14" s="19">
        <f t="shared" si="4"/>
        <v>0</v>
      </c>
      <c r="J14" s="20">
        <f t="shared" si="5"/>
        <v>0</v>
      </c>
      <c r="K14" s="14"/>
      <c r="L14" s="14"/>
      <c r="M14" s="14"/>
      <c r="N14" s="14"/>
      <c r="O14" s="14"/>
      <c r="P14" s="16"/>
      <c r="Q14" s="15"/>
      <c r="R14" s="13">
        <f t="shared" si="6"/>
        <v>0</v>
      </c>
      <c r="S14" s="25">
        <f t="shared" si="7"/>
        <v>0</v>
      </c>
    </row>
    <row r="15" spans="1:19" x14ac:dyDescent="0.2">
      <c r="A15" s="24">
        <v>9</v>
      </c>
      <c r="B15" s="18"/>
      <c r="C15" s="17"/>
      <c r="D15" s="17"/>
      <c r="E15" s="90"/>
      <c r="F15" s="93"/>
      <c r="G15" s="97"/>
      <c r="H15" s="97"/>
      <c r="I15" s="19">
        <f t="shared" si="4"/>
        <v>0</v>
      </c>
      <c r="J15" s="20">
        <f t="shared" si="5"/>
        <v>0</v>
      </c>
      <c r="K15" s="14"/>
      <c r="L15" s="14"/>
      <c r="M15" s="14"/>
      <c r="N15" s="14"/>
      <c r="O15" s="14"/>
      <c r="P15" s="16"/>
      <c r="Q15" s="15"/>
      <c r="R15" s="13">
        <f t="shared" si="6"/>
        <v>0</v>
      </c>
      <c r="S15" s="25">
        <f t="shared" si="7"/>
        <v>0</v>
      </c>
    </row>
    <row r="16" spans="1:19" x14ac:dyDescent="0.2">
      <c r="A16" s="24">
        <v>10</v>
      </c>
      <c r="B16" s="18"/>
      <c r="C16" s="17"/>
      <c r="D16" s="17"/>
      <c r="E16" s="90"/>
      <c r="F16" s="93"/>
      <c r="G16" s="97"/>
      <c r="H16" s="97"/>
      <c r="I16" s="19">
        <f t="shared" si="4"/>
        <v>0</v>
      </c>
      <c r="J16" s="20">
        <f t="shared" si="5"/>
        <v>0</v>
      </c>
      <c r="K16" s="14"/>
      <c r="L16" s="14"/>
      <c r="M16" s="14"/>
      <c r="N16" s="14"/>
      <c r="O16" s="14"/>
      <c r="P16" s="16"/>
      <c r="Q16" s="15"/>
      <c r="R16" s="13">
        <f t="shared" si="6"/>
        <v>0</v>
      </c>
      <c r="S16" s="25">
        <f t="shared" si="7"/>
        <v>0</v>
      </c>
    </row>
    <row r="17" spans="1:19" x14ac:dyDescent="0.2">
      <c r="A17" s="24">
        <v>11</v>
      </c>
      <c r="B17" s="18"/>
      <c r="C17" s="17"/>
      <c r="D17" s="17"/>
      <c r="E17" s="90"/>
      <c r="F17" s="93"/>
      <c r="G17" s="97"/>
      <c r="H17" s="97"/>
      <c r="I17" s="19">
        <f t="shared" si="4"/>
        <v>0</v>
      </c>
      <c r="J17" s="20">
        <f t="shared" si="5"/>
        <v>0</v>
      </c>
      <c r="K17" s="14"/>
      <c r="L17" s="14"/>
      <c r="M17" s="14"/>
      <c r="N17" s="14"/>
      <c r="O17" s="14"/>
      <c r="P17" s="16"/>
      <c r="Q17" s="15"/>
      <c r="R17" s="13">
        <f t="shared" si="6"/>
        <v>0</v>
      </c>
      <c r="S17" s="25">
        <f t="shared" si="7"/>
        <v>0</v>
      </c>
    </row>
    <row r="18" spans="1:19" x14ac:dyDescent="0.2">
      <c r="A18" s="54">
        <v>12</v>
      </c>
      <c r="B18" s="55"/>
      <c r="C18" s="56"/>
      <c r="D18" s="56"/>
      <c r="E18" s="91"/>
      <c r="F18" s="94"/>
      <c r="G18" s="98"/>
      <c r="H18" s="98"/>
      <c r="I18" s="19">
        <f t="shared" si="4"/>
        <v>0</v>
      </c>
      <c r="J18" s="20">
        <f t="shared" si="5"/>
        <v>0</v>
      </c>
      <c r="K18" s="59"/>
      <c r="L18" s="59"/>
      <c r="M18" s="59"/>
      <c r="N18" s="59"/>
      <c r="O18" s="59"/>
      <c r="P18" s="60"/>
      <c r="Q18" s="89"/>
      <c r="R18" s="13">
        <f t="shared" si="6"/>
        <v>0</v>
      </c>
      <c r="S18" s="25">
        <f t="shared" si="7"/>
        <v>0</v>
      </c>
    </row>
    <row r="19" spans="1:19" x14ac:dyDescent="0.2">
      <c r="A19" s="54">
        <v>13</v>
      </c>
      <c r="B19" s="55"/>
      <c r="C19" s="56"/>
      <c r="D19" s="56"/>
      <c r="E19" s="91"/>
      <c r="F19" s="94"/>
      <c r="G19" s="98"/>
      <c r="H19" s="98"/>
      <c r="I19" s="19">
        <f t="shared" si="4"/>
        <v>0</v>
      </c>
      <c r="J19" s="20">
        <f t="shared" si="5"/>
        <v>0</v>
      </c>
      <c r="K19" s="59"/>
      <c r="L19" s="59"/>
      <c r="M19" s="59"/>
      <c r="N19" s="59"/>
      <c r="O19" s="59"/>
      <c r="P19" s="60"/>
      <c r="Q19" s="89"/>
      <c r="R19" s="13">
        <f t="shared" si="6"/>
        <v>0</v>
      </c>
      <c r="S19" s="25">
        <f t="shared" si="7"/>
        <v>0</v>
      </c>
    </row>
    <row r="20" spans="1:19" x14ac:dyDescent="0.2">
      <c r="A20" s="54">
        <v>14</v>
      </c>
      <c r="B20" s="55"/>
      <c r="C20" s="56"/>
      <c r="D20" s="56"/>
      <c r="E20" s="91"/>
      <c r="F20" s="94"/>
      <c r="G20" s="98"/>
      <c r="H20" s="98"/>
      <c r="I20" s="19">
        <f t="shared" si="4"/>
        <v>0</v>
      </c>
      <c r="J20" s="20">
        <f t="shared" si="5"/>
        <v>0</v>
      </c>
      <c r="K20" s="59"/>
      <c r="L20" s="59"/>
      <c r="M20" s="59"/>
      <c r="N20" s="59"/>
      <c r="O20" s="59"/>
      <c r="P20" s="60"/>
      <c r="Q20" s="89"/>
      <c r="R20" s="13">
        <f t="shared" si="6"/>
        <v>0</v>
      </c>
      <c r="S20" s="25">
        <f t="shared" si="7"/>
        <v>0</v>
      </c>
    </row>
    <row r="21" spans="1:19" ht="12.75" thickBot="1" x14ac:dyDescent="0.25">
      <c r="A21" s="54">
        <v>15</v>
      </c>
      <c r="B21" s="55"/>
      <c r="C21" s="56"/>
      <c r="D21" s="56"/>
      <c r="E21" s="91"/>
      <c r="F21" s="94"/>
      <c r="G21" s="99"/>
      <c r="H21" s="99"/>
      <c r="I21" s="57">
        <f t="shared" si="0"/>
        <v>0</v>
      </c>
      <c r="J21" s="58">
        <f t="shared" si="1"/>
        <v>0</v>
      </c>
      <c r="K21" s="59"/>
      <c r="L21" s="59"/>
      <c r="M21" s="59"/>
      <c r="N21" s="59"/>
      <c r="O21" s="59"/>
      <c r="P21" s="60"/>
      <c r="Q21" s="59"/>
      <c r="R21" s="61">
        <f t="shared" si="2"/>
        <v>0</v>
      </c>
      <c r="S21" s="62">
        <f t="shared" si="3"/>
        <v>0</v>
      </c>
    </row>
    <row r="22" spans="1:19" ht="14.25" thickBot="1" x14ac:dyDescent="0.3">
      <c r="A22" s="132" t="s">
        <v>16</v>
      </c>
      <c r="B22" s="133"/>
      <c r="C22" s="133"/>
      <c r="D22" s="133"/>
      <c r="E22" s="134"/>
      <c r="F22" s="69"/>
      <c r="G22" s="70">
        <f>G6</f>
        <v>0</v>
      </c>
      <c r="H22" s="70">
        <f>H6</f>
        <v>0</v>
      </c>
      <c r="I22" s="71">
        <f>I6-(SUM(I7:I21))</f>
        <v>0</v>
      </c>
      <c r="J22" s="71">
        <f>J6-(SUM(J7:J21))</f>
        <v>0</v>
      </c>
      <c r="K22" s="71">
        <f t="shared" ref="K22:Q22" si="8">SUM(K7:K21)</f>
        <v>0</v>
      </c>
      <c r="L22" s="71">
        <f t="shared" si="8"/>
        <v>0</v>
      </c>
      <c r="M22" s="71">
        <f t="shared" si="8"/>
        <v>0</v>
      </c>
      <c r="N22" s="71">
        <f t="shared" si="8"/>
        <v>0</v>
      </c>
      <c r="O22" s="71">
        <f t="shared" si="8"/>
        <v>0</v>
      </c>
      <c r="P22" s="71">
        <f t="shared" si="8"/>
        <v>0</v>
      </c>
      <c r="Q22" s="71">
        <f t="shared" si="8"/>
        <v>0</v>
      </c>
      <c r="R22" s="72">
        <f>(1.5*K22+2*L22+3*M22+4*N22)/173</f>
        <v>0</v>
      </c>
      <c r="S22" s="73">
        <f>(2*O22+P22*3+4*Q22)/173</f>
        <v>0</v>
      </c>
    </row>
    <row r="23" spans="1:19" ht="12.75" thickBot="1" x14ac:dyDescent="0.25">
      <c r="A23" s="30"/>
      <c r="B23" s="31"/>
      <c r="C23" s="32"/>
      <c r="D23" s="32"/>
      <c r="E23" s="32"/>
      <c r="F23" s="32"/>
      <c r="G23" s="33"/>
      <c r="H23" s="33"/>
      <c r="I23" s="34"/>
      <c r="J23" s="34"/>
      <c r="K23" s="35"/>
      <c r="L23" s="35"/>
      <c r="M23" s="35"/>
      <c r="N23" s="36"/>
      <c r="O23" s="37"/>
      <c r="P23" s="38"/>
      <c r="Q23" s="37"/>
      <c r="R23" s="39"/>
      <c r="S23" s="40"/>
    </row>
    <row r="24" spans="1:19" ht="14.25" thickBot="1" x14ac:dyDescent="0.3">
      <c r="A24" s="128" t="s">
        <v>17</v>
      </c>
      <c r="B24" s="129"/>
      <c r="C24" s="129"/>
      <c r="D24" s="129"/>
      <c r="E24" s="129"/>
      <c r="F24" s="129"/>
      <c r="G24" s="130"/>
      <c r="H24" s="130"/>
      <c r="I24" s="131"/>
      <c r="J24" s="50"/>
      <c r="K24" s="51"/>
      <c r="L24" s="51"/>
      <c r="M24" s="51"/>
      <c r="N24" s="51"/>
      <c r="O24" s="52"/>
      <c r="P24" s="52"/>
      <c r="Q24" s="52"/>
      <c r="R24" s="52"/>
      <c r="S24" s="53"/>
    </row>
    <row r="25" spans="1:19" x14ac:dyDescent="0.2">
      <c r="A25" s="41">
        <v>1</v>
      </c>
      <c r="B25" s="112"/>
      <c r="C25" s="42"/>
      <c r="D25" s="42"/>
      <c r="E25" s="92"/>
      <c r="F25" s="95"/>
      <c r="G25" s="100"/>
      <c r="H25" s="100"/>
      <c r="I25" s="43">
        <f t="shared" ref="I25:I39" si="9">SUM(K25:N25)</f>
        <v>0</v>
      </c>
      <c r="J25" s="44">
        <f t="shared" ref="J25:J39" si="10">SUM(O25:Q25)</f>
        <v>0</v>
      </c>
      <c r="K25" s="45"/>
      <c r="L25" s="45"/>
      <c r="M25" s="45"/>
      <c r="N25" s="45"/>
      <c r="O25" s="46"/>
      <c r="P25" s="47"/>
      <c r="Q25" s="45"/>
      <c r="R25" s="48">
        <f>SUM(K25:N25)</f>
        <v>0</v>
      </c>
      <c r="S25" s="49">
        <f>SUM(O25:Q25)</f>
        <v>0</v>
      </c>
    </row>
    <row r="26" spans="1:19" x14ac:dyDescent="0.2">
      <c r="A26" s="24">
        <v>2</v>
      </c>
      <c r="B26" s="18"/>
      <c r="C26" s="17"/>
      <c r="D26" s="17"/>
      <c r="E26" s="90"/>
      <c r="F26" s="93"/>
      <c r="G26" s="96"/>
      <c r="H26" s="96"/>
      <c r="I26" s="19">
        <f t="shared" si="9"/>
        <v>0</v>
      </c>
      <c r="J26" s="20">
        <f t="shared" si="10"/>
        <v>0</v>
      </c>
      <c r="K26" s="14"/>
      <c r="L26" s="14"/>
      <c r="M26" s="14"/>
      <c r="N26" s="14"/>
      <c r="O26" s="15"/>
      <c r="P26" s="16"/>
      <c r="Q26" s="14"/>
      <c r="R26" s="13">
        <f t="shared" ref="R26:R39" si="11">SUM(K26:N26)</f>
        <v>0</v>
      </c>
      <c r="S26" s="25">
        <f t="shared" ref="S26:S39" si="12">SUM(O26:Q26)</f>
        <v>0</v>
      </c>
    </row>
    <row r="27" spans="1:19" x14ac:dyDescent="0.2">
      <c r="A27" s="24">
        <v>3</v>
      </c>
      <c r="B27" s="18"/>
      <c r="C27" s="17"/>
      <c r="D27" s="17"/>
      <c r="E27" s="90"/>
      <c r="F27" s="93"/>
      <c r="G27" s="96"/>
      <c r="H27" s="96"/>
      <c r="I27" s="19">
        <f t="shared" si="9"/>
        <v>0</v>
      </c>
      <c r="J27" s="20">
        <f t="shared" si="10"/>
        <v>0</v>
      </c>
      <c r="K27" s="14"/>
      <c r="L27" s="14"/>
      <c r="M27" s="14"/>
      <c r="N27" s="14"/>
      <c r="O27" s="15"/>
      <c r="P27" s="16"/>
      <c r="Q27" s="14"/>
      <c r="R27" s="13">
        <f t="shared" si="11"/>
        <v>0</v>
      </c>
      <c r="S27" s="25">
        <f t="shared" si="12"/>
        <v>0</v>
      </c>
    </row>
    <row r="28" spans="1:19" x14ac:dyDescent="0.2">
      <c r="A28" s="24">
        <v>4</v>
      </c>
      <c r="B28" s="18"/>
      <c r="C28" s="17"/>
      <c r="D28" s="17"/>
      <c r="E28" s="90"/>
      <c r="F28" s="93"/>
      <c r="G28" s="96"/>
      <c r="H28" s="96"/>
      <c r="I28" s="19">
        <f t="shared" si="9"/>
        <v>0</v>
      </c>
      <c r="J28" s="20">
        <f t="shared" si="10"/>
        <v>0</v>
      </c>
      <c r="K28" s="14"/>
      <c r="L28" s="14"/>
      <c r="M28" s="14"/>
      <c r="N28" s="14"/>
      <c r="O28" s="15"/>
      <c r="P28" s="16"/>
      <c r="Q28" s="14"/>
      <c r="R28" s="13">
        <f t="shared" si="11"/>
        <v>0</v>
      </c>
      <c r="S28" s="25">
        <f t="shared" si="12"/>
        <v>0</v>
      </c>
    </row>
    <row r="29" spans="1:19" x14ac:dyDescent="0.2">
      <c r="A29" s="24">
        <v>5</v>
      </c>
      <c r="B29" s="18"/>
      <c r="C29" s="103"/>
      <c r="D29" s="103"/>
      <c r="E29" s="104"/>
      <c r="F29" s="105"/>
      <c r="G29" s="106"/>
      <c r="H29" s="106"/>
      <c r="I29" s="107">
        <f t="shared" si="9"/>
        <v>0</v>
      </c>
      <c r="J29" s="108">
        <f t="shared" si="10"/>
        <v>0</v>
      </c>
      <c r="K29" s="14"/>
      <c r="L29" s="14"/>
      <c r="M29" s="14"/>
      <c r="N29" s="14"/>
      <c r="O29" s="15"/>
      <c r="P29" s="16"/>
      <c r="Q29" s="14"/>
      <c r="R29" s="13">
        <f t="shared" si="11"/>
        <v>0</v>
      </c>
      <c r="S29" s="25">
        <f t="shared" si="12"/>
        <v>0</v>
      </c>
    </row>
    <row r="30" spans="1:19" x14ac:dyDescent="0.2">
      <c r="A30" s="24">
        <v>6</v>
      </c>
      <c r="B30" s="18"/>
      <c r="C30" s="103"/>
      <c r="D30" s="103"/>
      <c r="E30" s="104"/>
      <c r="F30" s="105"/>
      <c r="G30" s="106"/>
      <c r="H30" s="106"/>
      <c r="I30" s="107">
        <f t="shared" si="9"/>
        <v>0</v>
      </c>
      <c r="J30" s="108">
        <f t="shared" si="10"/>
        <v>0</v>
      </c>
      <c r="K30" s="14"/>
      <c r="L30" s="14"/>
      <c r="M30" s="14"/>
      <c r="N30" s="14"/>
      <c r="O30" s="15"/>
      <c r="P30" s="16"/>
      <c r="Q30" s="14"/>
      <c r="R30" s="13">
        <f t="shared" si="11"/>
        <v>0</v>
      </c>
      <c r="S30" s="25">
        <f t="shared" si="12"/>
        <v>0</v>
      </c>
    </row>
    <row r="31" spans="1:19" x14ac:dyDescent="0.2">
      <c r="A31" s="24">
        <v>7</v>
      </c>
      <c r="B31" s="55"/>
      <c r="C31" s="109"/>
      <c r="D31" s="109"/>
      <c r="E31" s="110"/>
      <c r="F31" s="111"/>
      <c r="G31" s="106"/>
      <c r="H31" s="106"/>
      <c r="I31" s="107">
        <f t="shared" si="9"/>
        <v>0</v>
      </c>
      <c r="J31" s="108">
        <f t="shared" si="10"/>
        <v>0</v>
      </c>
      <c r="K31" s="59"/>
      <c r="L31" s="59"/>
      <c r="M31" s="59"/>
      <c r="N31" s="59"/>
      <c r="O31" s="89"/>
      <c r="P31" s="60"/>
      <c r="Q31" s="59"/>
      <c r="R31" s="13">
        <f t="shared" si="11"/>
        <v>0</v>
      </c>
      <c r="S31" s="25">
        <f t="shared" si="12"/>
        <v>0</v>
      </c>
    </row>
    <row r="32" spans="1:19" x14ac:dyDescent="0.2">
      <c r="A32" s="24">
        <v>8</v>
      </c>
      <c r="B32" s="18"/>
      <c r="C32" s="103"/>
      <c r="D32" s="103"/>
      <c r="E32" s="104"/>
      <c r="F32" s="105"/>
      <c r="G32" s="106"/>
      <c r="H32" s="106"/>
      <c r="I32" s="107">
        <f t="shared" si="9"/>
        <v>0</v>
      </c>
      <c r="J32" s="108">
        <f t="shared" si="10"/>
        <v>0</v>
      </c>
      <c r="K32" s="14"/>
      <c r="L32" s="14"/>
      <c r="M32" s="14"/>
      <c r="N32" s="14"/>
      <c r="O32" s="15"/>
      <c r="P32" s="16"/>
      <c r="Q32" s="14"/>
      <c r="R32" s="13">
        <f t="shared" si="11"/>
        <v>0</v>
      </c>
      <c r="S32" s="25">
        <f t="shared" si="12"/>
        <v>0</v>
      </c>
    </row>
    <row r="33" spans="1:19" x14ac:dyDescent="0.2">
      <c r="A33" s="24">
        <v>9</v>
      </c>
      <c r="B33" s="18"/>
      <c r="C33" s="17"/>
      <c r="D33" s="17"/>
      <c r="E33" s="90"/>
      <c r="F33" s="93"/>
      <c r="G33" s="96"/>
      <c r="H33" s="96"/>
      <c r="I33" s="19">
        <f t="shared" si="9"/>
        <v>0</v>
      </c>
      <c r="J33" s="20">
        <f t="shared" si="10"/>
        <v>0</v>
      </c>
      <c r="K33" s="14"/>
      <c r="L33" s="14"/>
      <c r="M33" s="14"/>
      <c r="N33" s="14"/>
      <c r="O33" s="15"/>
      <c r="P33" s="16"/>
      <c r="Q33" s="14"/>
      <c r="R33" s="13">
        <f t="shared" si="11"/>
        <v>0</v>
      </c>
      <c r="S33" s="25">
        <f t="shared" si="12"/>
        <v>0</v>
      </c>
    </row>
    <row r="34" spans="1:19" x14ac:dyDescent="0.2">
      <c r="A34" s="24">
        <v>10</v>
      </c>
      <c r="B34" s="18"/>
      <c r="C34" s="17"/>
      <c r="D34" s="17"/>
      <c r="E34" s="90"/>
      <c r="F34" s="93"/>
      <c r="G34" s="96"/>
      <c r="H34" s="96"/>
      <c r="I34" s="19">
        <f t="shared" si="9"/>
        <v>0</v>
      </c>
      <c r="J34" s="20">
        <f t="shared" si="10"/>
        <v>0</v>
      </c>
      <c r="K34" s="14"/>
      <c r="L34" s="14"/>
      <c r="M34" s="14"/>
      <c r="N34" s="14"/>
      <c r="O34" s="15"/>
      <c r="P34" s="16"/>
      <c r="Q34" s="14"/>
      <c r="R34" s="13">
        <f t="shared" si="11"/>
        <v>0</v>
      </c>
      <c r="S34" s="25">
        <f t="shared" si="12"/>
        <v>0</v>
      </c>
    </row>
    <row r="35" spans="1:19" x14ac:dyDescent="0.2">
      <c r="A35" s="24">
        <v>11</v>
      </c>
      <c r="B35" s="18"/>
      <c r="C35" s="17"/>
      <c r="D35" s="17"/>
      <c r="E35" s="90"/>
      <c r="F35" s="93"/>
      <c r="G35" s="97"/>
      <c r="H35" s="97"/>
      <c r="I35" s="19">
        <f t="shared" ref="I35:I38" si="13">SUM(K35:N35)</f>
        <v>0</v>
      </c>
      <c r="J35" s="20">
        <f t="shared" ref="J35:J38" si="14">SUM(O35:Q35)</f>
        <v>0</v>
      </c>
      <c r="K35" s="14"/>
      <c r="L35" s="14"/>
      <c r="M35" s="14"/>
      <c r="N35" s="14"/>
      <c r="O35" s="15"/>
      <c r="P35" s="16"/>
      <c r="Q35" s="14"/>
      <c r="R35" s="13">
        <f t="shared" ref="R35:R38" si="15">SUM(K35:N35)</f>
        <v>0</v>
      </c>
      <c r="S35" s="25">
        <f t="shared" ref="S35:S38" si="16">SUM(O35:Q35)</f>
        <v>0</v>
      </c>
    </row>
    <row r="36" spans="1:19" x14ac:dyDescent="0.2">
      <c r="A36" s="54">
        <v>12</v>
      </c>
      <c r="B36" s="55"/>
      <c r="C36" s="56"/>
      <c r="D36" s="56"/>
      <c r="E36" s="91"/>
      <c r="F36" s="94"/>
      <c r="G36" s="98"/>
      <c r="H36" s="98"/>
      <c r="I36" s="19">
        <f t="shared" si="13"/>
        <v>0</v>
      </c>
      <c r="J36" s="20">
        <f t="shared" si="14"/>
        <v>0</v>
      </c>
      <c r="K36" s="59"/>
      <c r="L36" s="59"/>
      <c r="M36" s="59"/>
      <c r="N36" s="59"/>
      <c r="O36" s="89"/>
      <c r="P36" s="60"/>
      <c r="Q36" s="59"/>
      <c r="R36" s="13">
        <f t="shared" si="15"/>
        <v>0</v>
      </c>
      <c r="S36" s="25">
        <f t="shared" si="16"/>
        <v>0</v>
      </c>
    </row>
    <row r="37" spans="1:19" x14ac:dyDescent="0.2">
      <c r="A37" s="54">
        <v>13</v>
      </c>
      <c r="B37" s="55"/>
      <c r="C37" s="56"/>
      <c r="D37" s="56"/>
      <c r="E37" s="91"/>
      <c r="F37" s="94"/>
      <c r="G37" s="98"/>
      <c r="H37" s="98"/>
      <c r="I37" s="19">
        <f t="shared" si="13"/>
        <v>0</v>
      </c>
      <c r="J37" s="20">
        <f t="shared" si="14"/>
        <v>0</v>
      </c>
      <c r="K37" s="59"/>
      <c r="L37" s="59"/>
      <c r="M37" s="59"/>
      <c r="N37" s="59"/>
      <c r="O37" s="89"/>
      <c r="P37" s="60"/>
      <c r="Q37" s="59"/>
      <c r="R37" s="13">
        <f t="shared" si="15"/>
        <v>0</v>
      </c>
      <c r="S37" s="25">
        <f t="shared" si="16"/>
        <v>0</v>
      </c>
    </row>
    <row r="38" spans="1:19" x14ac:dyDescent="0.2">
      <c r="A38" s="54">
        <v>14</v>
      </c>
      <c r="B38" s="55"/>
      <c r="C38" s="56"/>
      <c r="D38" s="56"/>
      <c r="E38" s="91"/>
      <c r="F38" s="94"/>
      <c r="G38" s="98"/>
      <c r="H38" s="98"/>
      <c r="I38" s="19">
        <f t="shared" si="13"/>
        <v>0</v>
      </c>
      <c r="J38" s="20">
        <f t="shared" si="14"/>
        <v>0</v>
      </c>
      <c r="K38" s="59"/>
      <c r="L38" s="59"/>
      <c r="M38" s="59"/>
      <c r="N38" s="59"/>
      <c r="O38" s="89"/>
      <c r="P38" s="60"/>
      <c r="Q38" s="59"/>
      <c r="R38" s="13">
        <f t="shared" si="15"/>
        <v>0</v>
      </c>
      <c r="S38" s="25">
        <f t="shared" si="16"/>
        <v>0</v>
      </c>
    </row>
    <row r="39" spans="1:19" ht="12.75" thickBot="1" x14ac:dyDescent="0.25">
      <c r="A39" s="54">
        <v>15</v>
      </c>
      <c r="B39" s="55"/>
      <c r="C39" s="56"/>
      <c r="D39" s="56"/>
      <c r="E39" s="91"/>
      <c r="F39" s="94"/>
      <c r="G39" s="99"/>
      <c r="H39" s="99"/>
      <c r="I39" s="57">
        <f t="shared" si="9"/>
        <v>0</v>
      </c>
      <c r="J39" s="58">
        <f t="shared" si="10"/>
        <v>0</v>
      </c>
      <c r="K39" s="59"/>
      <c r="L39" s="59"/>
      <c r="M39" s="59"/>
      <c r="N39" s="59"/>
      <c r="O39" s="59"/>
      <c r="P39" s="60"/>
      <c r="Q39" s="59"/>
      <c r="R39" s="61">
        <f t="shared" si="11"/>
        <v>0</v>
      </c>
      <c r="S39" s="62">
        <f t="shared" si="12"/>
        <v>0</v>
      </c>
    </row>
    <row r="40" spans="1:19" ht="14.25" thickBot="1" x14ac:dyDescent="0.3">
      <c r="A40" s="120" t="s">
        <v>16</v>
      </c>
      <c r="B40" s="121"/>
      <c r="C40" s="121"/>
      <c r="D40" s="121"/>
      <c r="E40" s="122"/>
      <c r="F40" s="63"/>
      <c r="G40" s="63"/>
      <c r="H40" s="64"/>
      <c r="I40" s="65"/>
      <c r="J40" s="66"/>
      <c r="K40" s="66">
        <f t="shared" ref="K40:Q40" si="17">SUM(K25:K39)</f>
        <v>0</v>
      </c>
      <c r="L40" s="66">
        <f t="shared" si="17"/>
        <v>0</v>
      </c>
      <c r="M40" s="66">
        <f t="shared" si="17"/>
        <v>0</v>
      </c>
      <c r="N40" s="66">
        <f t="shared" si="17"/>
        <v>0</v>
      </c>
      <c r="O40" s="66">
        <f t="shared" si="17"/>
        <v>0</v>
      </c>
      <c r="P40" s="66">
        <f t="shared" si="17"/>
        <v>0</v>
      </c>
      <c r="Q40" s="66">
        <f t="shared" si="17"/>
        <v>0</v>
      </c>
      <c r="R40" s="67">
        <f>(1.5*K40+2*L40+3*M40+4*N40)/173</f>
        <v>0</v>
      </c>
      <c r="S40" s="68">
        <f>(2*O40+P40*3+4*Q40)/173</f>
        <v>0</v>
      </c>
    </row>
    <row r="41" spans="1:19" ht="14.25" thickBot="1" x14ac:dyDescent="0.3">
      <c r="A41" s="30"/>
      <c r="B41" s="80"/>
      <c r="C41" s="80"/>
      <c r="D41" s="80"/>
      <c r="E41" s="80"/>
      <c r="F41" s="80"/>
      <c r="G41" s="81"/>
      <c r="H41" s="81"/>
      <c r="I41" s="82"/>
      <c r="J41" s="82"/>
      <c r="K41" s="82"/>
      <c r="L41" s="82"/>
      <c r="M41" s="82"/>
      <c r="N41" s="82"/>
      <c r="O41" s="82"/>
      <c r="P41" s="82"/>
      <c r="Q41" s="82"/>
      <c r="R41" s="83"/>
      <c r="S41" s="84"/>
    </row>
    <row r="42" spans="1:19" ht="14.25" thickBot="1" x14ac:dyDescent="0.3">
      <c r="A42" s="117" t="s">
        <v>18</v>
      </c>
      <c r="B42" s="118"/>
      <c r="C42" s="118"/>
      <c r="D42" s="118"/>
      <c r="E42" s="118"/>
      <c r="F42" s="118"/>
      <c r="G42" s="21">
        <f t="shared" ref="G42:S42" si="18">G22+G40</f>
        <v>0</v>
      </c>
      <c r="H42" s="21">
        <f t="shared" si="18"/>
        <v>0</v>
      </c>
      <c r="I42" s="21">
        <f t="shared" si="18"/>
        <v>0</v>
      </c>
      <c r="J42" s="21">
        <f t="shared" si="18"/>
        <v>0</v>
      </c>
      <c r="K42" s="21">
        <f t="shared" si="18"/>
        <v>0</v>
      </c>
      <c r="L42" s="21">
        <f t="shared" si="18"/>
        <v>0</v>
      </c>
      <c r="M42" s="21">
        <f t="shared" si="18"/>
        <v>0</v>
      </c>
      <c r="N42" s="21">
        <f t="shared" si="18"/>
        <v>0</v>
      </c>
      <c r="O42" s="21">
        <f t="shared" si="18"/>
        <v>0</v>
      </c>
      <c r="P42" s="21">
        <f t="shared" si="18"/>
        <v>0</v>
      </c>
      <c r="Q42" s="21">
        <f t="shared" si="18"/>
        <v>0</v>
      </c>
      <c r="R42" s="22">
        <f t="shared" si="18"/>
        <v>0</v>
      </c>
      <c r="S42" s="23">
        <f t="shared" si="18"/>
        <v>0</v>
      </c>
    </row>
    <row r="43" spans="1:19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2"/>
      <c r="O43" s="2"/>
      <c r="P43" s="1"/>
      <c r="Q43" s="2"/>
      <c r="R43" s="3"/>
      <c r="S43" s="3"/>
    </row>
    <row r="44" spans="1:19" ht="14.45" customHeight="1" x14ac:dyDescent="0.2">
      <c r="A44" s="7"/>
      <c r="B44" s="119" t="s">
        <v>23</v>
      </c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01"/>
      <c r="Q44" s="7" t="s">
        <v>19</v>
      </c>
      <c r="R44" s="8"/>
      <c r="S44" s="8"/>
    </row>
    <row r="45" spans="1:19" x14ac:dyDescent="0.2">
      <c r="A45" s="7"/>
      <c r="B45" s="119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01"/>
      <c r="Q45" s="7"/>
      <c r="R45" s="8"/>
      <c r="S45" s="8"/>
    </row>
    <row r="46" spans="1:19" x14ac:dyDescent="0.2">
      <c r="A46" s="1"/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01"/>
      <c r="Q46" s="7"/>
      <c r="R46" s="3"/>
      <c r="S46" s="3"/>
    </row>
    <row r="47" spans="1:19" ht="13.5" x14ac:dyDescent="0.25">
      <c r="A47" s="1"/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01"/>
      <c r="Q47" s="9" t="s">
        <v>20</v>
      </c>
      <c r="R47" s="3"/>
      <c r="S47" s="3"/>
    </row>
    <row r="48" spans="1:19" ht="13.5" x14ac:dyDescent="0.25">
      <c r="A48" s="1"/>
      <c r="B48" s="10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2"/>
      <c r="O48" s="2"/>
      <c r="P48" s="1"/>
      <c r="Q48" s="2"/>
      <c r="R48" s="3"/>
      <c r="S48" s="3"/>
    </row>
    <row r="49" spans="1:19" ht="14.45" customHeight="1" x14ac:dyDescent="0.2">
      <c r="A49" s="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3"/>
    </row>
  </sheetData>
  <sheetProtection algorithmName="SHA-512" hashValue="3oXT/vio+FpoYulXBefDQ6SyNOaXbK1igfneCX1X1mnXiBaOH9bk/J5Cwx8tMPSlADflqVPm3hsW/jDdAngEJw==" saltValue="RW5nubaGA8rxnszIm9QRfA==" spinCount="100000" sheet="1" objects="1" scenarios="1" formatCells="0" formatColumns="0" formatRows="0" insertRows="0" deleteRows="0"/>
  <mergeCells count="16">
    <mergeCell ref="D2:F2"/>
    <mergeCell ref="D3:F3"/>
    <mergeCell ref="A42:F42"/>
    <mergeCell ref="B44:O47"/>
    <mergeCell ref="A40:E40"/>
    <mergeCell ref="A5:B5"/>
    <mergeCell ref="A6:F6"/>
    <mergeCell ref="A24:F24"/>
    <mergeCell ref="G24:I24"/>
    <mergeCell ref="A22:E22"/>
    <mergeCell ref="K3:S3"/>
    <mergeCell ref="G4:H4"/>
    <mergeCell ref="I4:J4"/>
    <mergeCell ref="K4:N4"/>
    <mergeCell ref="O4:Q4"/>
    <mergeCell ref="R4:S4"/>
  </mergeCells>
  <dataValidations count="1">
    <dataValidation type="list" allowBlank="1" showInputMessage="1" showErrorMessage="1" prompt="Choose C for Corrective Cases_x000a_Choose NC for Non-Corrective Cases" sqref="D7:D21 D25:D39" xr:uid="{00000000-0002-0000-0000-000000000000}">
      <formula1>"C,NC"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75" orientation="landscape" horizontalDpi="1200" verticalDpi="1200" r:id="rId1"/>
  <ignoredErrors>
    <ignoredError sqref="I21:J21 I39:J39 J8:J12 I7:I12 I25:J34" unlockedFormula="1"/>
    <ignoredError sqref="I3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Overtime Calculations</vt:lpstr>
      <vt:lpstr>'Overtime Calculations'!Print_Area</vt:lpstr>
    </vt:vector>
  </TitlesOfParts>
  <Company>Hewlett 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Angga Wisnu .</dc:creator>
  <cp:lastModifiedBy>Angga Wisnu .</cp:lastModifiedBy>
  <cp:lastPrinted>2017-12-04T00:39:37Z</cp:lastPrinted>
  <dcterms:created xsi:type="dcterms:W3CDTF">2017-08-04T01:49:29Z</dcterms:created>
  <dcterms:modified xsi:type="dcterms:W3CDTF">2020-02-29T12:09:57Z</dcterms:modified>
</cp:coreProperties>
</file>